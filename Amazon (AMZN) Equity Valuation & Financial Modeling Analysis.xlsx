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ppri\OneDrive\Desktop\Amaxzon Project\"/>
    </mc:Choice>
  </mc:AlternateContent>
  <xr:revisionPtr revIDLastSave="0" documentId="13_ncr:1_{27378D11-23E8-47C4-8FC7-C6ADFBD4D2BA}" xr6:coauthVersionLast="47" xr6:coauthVersionMax="47" xr10:uidLastSave="{00000000-0000-0000-0000-000000000000}"/>
  <bookViews>
    <workbookView xWindow="-120" yWindow="-120" windowWidth="38640" windowHeight="21840" activeTab="3" xr2:uid="{2328A7D2-5869-42FC-9BF7-B321036EBFD1}"/>
  </bookViews>
  <sheets>
    <sheet name="Valuation Assumptions" sheetId="12" r:id="rId1"/>
    <sheet name="DCF" sheetId="11" r:id="rId2"/>
    <sheet name="Exit Multiple" sheetId="10" r:id="rId3"/>
    <sheet name="Valuation Outputs" sheetId="1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4" l="1"/>
  <c r="C4" i="14"/>
  <c r="D3" i="14"/>
  <c r="C3" i="14"/>
  <c r="Q18" i="10" l="1"/>
  <c r="P18" i="10"/>
  <c r="O18" i="10"/>
  <c r="N18" i="10"/>
  <c r="M18" i="10"/>
  <c r="Q3" i="10"/>
  <c r="P3" i="10"/>
  <c r="O3" i="10"/>
  <c r="N3" i="10"/>
  <c r="M3" i="10"/>
  <c r="Z5" i="12"/>
  <c r="Y5" i="12"/>
  <c r="X5" i="12"/>
  <c r="W5" i="12"/>
  <c r="V5" i="12"/>
  <c r="X4" i="12"/>
  <c r="Y4" i="12"/>
  <c r="Z4" i="12" s="1"/>
  <c r="W4" i="12"/>
  <c r="V4" i="12"/>
  <c r="Q29" i="10"/>
  <c r="Q14" i="10"/>
  <c r="I2" i="12" l="1"/>
  <c r="I10" i="12"/>
  <c r="T63" i="11"/>
  <c r="T29" i="11"/>
  <c r="G55" i="11" l="1"/>
  <c r="H55" i="11"/>
  <c r="I55" i="11"/>
  <c r="J55" i="11"/>
  <c r="K55" i="11"/>
  <c r="L55" i="11"/>
  <c r="M55" i="11"/>
  <c r="N55" i="11"/>
  <c r="O55" i="11"/>
  <c r="F55" i="11"/>
  <c r="F52" i="11"/>
  <c r="G52" i="11"/>
  <c r="H52" i="11"/>
  <c r="I52" i="11"/>
  <c r="J52" i="11"/>
  <c r="K52" i="11"/>
  <c r="L52" i="11"/>
  <c r="M52" i="11"/>
  <c r="N52" i="11"/>
  <c r="O52" i="11"/>
  <c r="O49" i="11"/>
  <c r="N49" i="11"/>
  <c r="M49" i="11"/>
  <c r="L49" i="11"/>
  <c r="K49" i="11"/>
  <c r="J49" i="11"/>
  <c r="I49" i="11"/>
  <c r="H49" i="11"/>
  <c r="G49" i="11"/>
  <c r="F49" i="11"/>
  <c r="H38" i="11"/>
  <c r="I38" i="11"/>
  <c r="J38" i="11"/>
  <c r="K38" i="11"/>
  <c r="L38" i="11"/>
  <c r="M38" i="11"/>
  <c r="N38" i="11"/>
  <c r="O38" i="11"/>
  <c r="G38" i="11"/>
  <c r="T37" i="11"/>
  <c r="S37" i="11"/>
  <c r="R37" i="11"/>
  <c r="Q37" i="11"/>
  <c r="P37" i="11"/>
  <c r="P38" i="11" s="1"/>
  <c r="F3" i="11"/>
  <c r="F15" i="11" s="1"/>
  <c r="O6" i="11"/>
  <c r="N6" i="11"/>
  <c r="N40" i="11" s="1"/>
  <c r="M6" i="11"/>
  <c r="M40" i="11" s="1"/>
  <c r="L6" i="11"/>
  <c r="L10" i="11" s="1"/>
  <c r="K6" i="11"/>
  <c r="K10" i="11" s="1"/>
  <c r="J6" i="11"/>
  <c r="J10" i="11" s="1"/>
  <c r="I6" i="11"/>
  <c r="I12" i="11" s="1"/>
  <c r="H6" i="11"/>
  <c r="H10" i="11" s="1"/>
  <c r="G6" i="11"/>
  <c r="G40" i="11" s="1"/>
  <c r="F6" i="11"/>
  <c r="F10" i="11" s="1"/>
  <c r="W55" i="11" l="1"/>
  <c r="W52" i="11"/>
  <c r="W49" i="11"/>
  <c r="R48" i="11" s="1"/>
  <c r="F18" i="11"/>
  <c r="S38" i="11"/>
  <c r="Q38" i="11"/>
  <c r="T38" i="11"/>
  <c r="F21" i="11"/>
  <c r="F12" i="11"/>
  <c r="R38" i="11"/>
  <c r="P51" i="11"/>
  <c r="G41" i="11"/>
  <c r="G46" i="11"/>
  <c r="G44" i="11"/>
  <c r="N46" i="11"/>
  <c r="N41" i="11"/>
  <c r="N44" i="11"/>
  <c r="M46" i="11"/>
  <c r="M44" i="11"/>
  <c r="M41" i="11"/>
  <c r="I10" i="11"/>
  <c r="N10" i="11"/>
  <c r="N12" i="11"/>
  <c r="G10" i="11"/>
  <c r="L12" i="11"/>
  <c r="L40" i="11"/>
  <c r="J12" i="11"/>
  <c r="G12" i="11"/>
  <c r="M10" i="11"/>
  <c r="F40" i="11"/>
  <c r="H40" i="11"/>
  <c r="I40" i="11"/>
  <c r="M12" i="11"/>
  <c r="J40" i="11"/>
  <c r="K40" i="11"/>
  <c r="K12" i="11"/>
  <c r="H12" i="11"/>
  <c r="O40" i="11"/>
  <c r="O10" i="11"/>
  <c r="O12" i="11"/>
  <c r="F7" i="11"/>
  <c r="T51" i="11"/>
  <c r="R51" i="11"/>
  <c r="Q51" i="11"/>
  <c r="S51" i="11"/>
  <c r="S48" i="11"/>
  <c r="T48" i="11"/>
  <c r="Q48" i="11"/>
  <c r="P48" i="11" l="1"/>
  <c r="J41" i="11"/>
  <c r="J44" i="11"/>
  <c r="J46" i="11"/>
  <c r="F41" i="11"/>
  <c r="F44" i="11"/>
  <c r="F46" i="11"/>
  <c r="O41" i="11"/>
  <c r="O44" i="11"/>
  <c r="O46" i="11"/>
  <c r="L41" i="11"/>
  <c r="L44" i="11"/>
  <c r="L46" i="11"/>
  <c r="K46" i="11"/>
  <c r="K41" i="11"/>
  <c r="K44" i="11"/>
  <c r="I41" i="11"/>
  <c r="I44" i="11"/>
  <c r="I46" i="11"/>
  <c r="H41" i="11"/>
  <c r="H44" i="11"/>
  <c r="H46" i="11"/>
  <c r="C17" i="10" l="1"/>
  <c r="T3" i="11"/>
  <c r="S3" i="11"/>
  <c r="R3" i="11"/>
  <c r="Q3" i="11"/>
  <c r="P3" i="11"/>
  <c r="O3" i="11"/>
  <c r="O21" i="11" s="1"/>
  <c r="N3" i="11"/>
  <c r="N21" i="11" s="1"/>
  <c r="M3" i="11"/>
  <c r="M21" i="11" s="1"/>
  <c r="L3" i="11"/>
  <c r="L21" i="11" s="1"/>
  <c r="K3" i="11"/>
  <c r="K21" i="11" s="1"/>
  <c r="J3" i="11"/>
  <c r="J21" i="11" s="1"/>
  <c r="I3" i="11"/>
  <c r="I21" i="11" s="1"/>
  <c r="H3" i="11"/>
  <c r="H21" i="11" s="1"/>
  <c r="G3" i="11"/>
  <c r="G21" i="11" s="1"/>
  <c r="C18" i="10"/>
  <c r="W21" i="11" l="1"/>
  <c r="M18" i="11"/>
  <c r="M4" i="11"/>
  <c r="M15" i="11"/>
  <c r="M7" i="11"/>
  <c r="J18" i="11"/>
  <c r="J15" i="11"/>
  <c r="J7" i="11"/>
  <c r="N15" i="11"/>
  <c r="N18" i="11"/>
  <c r="N4" i="11"/>
  <c r="N7" i="11"/>
  <c r="R4" i="11"/>
  <c r="G4" i="11"/>
  <c r="G15" i="11"/>
  <c r="G18" i="11"/>
  <c r="G7" i="11"/>
  <c r="I15" i="11"/>
  <c r="I18" i="11"/>
  <c r="I7" i="11"/>
  <c r="K18" i="11"/>
  <c r="K7" i="11"/>
  <c r="K4" i="11"/>
  <c r="K15" i="11"/>
  <c r="O15" i="11"/>
  <c r="O18" i="11"/>
  <c r="O4" i="11"/>
  <c r="O7" i="11"/>
  <c r="T4" i="11"/>
  <c r="I4" i="11"/>
  <c r="H15" i="11"/>
  <c r="H18" i="11"/>
  <c r="H7" i="11"/>
  <c r="L4" i="11"/>
  <c r="L18" i="11"/>
  <c r="L15" i="11"/>
  <c r="L7" i="11"/>
  <c r="P4" i="11"/>
  <c r="Q4" i="11"/>
  <c r="S4" i="11"/>
  <c r="H4" i="11"/>
  <c r="J4" i="11"/>
  <c r="C14" i="10"/>
  <c r="R4" i="10"/>
  <c r="R5" i="10"/>
  <c r="W18" i="11" l="1"/>
  <c r="W15" i="11"/>
  <c r="R6" i="10"/>
  <c r="R3" i="10"/>
  <c r="H14" i="10"/>
  <c r="Q14" i="11" l="1"/>
  <c r="S14" i="11"/>
  <c r="T14" i="11"/>
  <c r="R14" i="11"/>
  <c r="P14" i="11"/>
  <c r="T17" i="11"/>
  <c r="Q17" i="11"/>
  <c r="P17" i="11"/>
  <c r="S17" i="11"/>
  <c r="R17" i="11"/>
  <c r="L26" i="10"/>
  <c r="K26" i="10"/>
  <c r="J26" i="10"/>
  <c r="L20" i="10"/>
  <c r="K20" i="10"/>
  <c r="J20" i="10"/>
  <c r="L19" i="10"/>
  <c r="K19" i="10"/>
  <c r="J19" i="10"/>
  <c r="L18" i="10"/>
  <c r="R18" i="10" s="1"/>
  <c r="K18" i="10"/>
  <c r="J18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Q5" i="10"/>
  <c r="P5" i="10"/>
  <c r="O5" i="10"/>
  <c r="N5" i="10"/>
  <c r="M5" i="10"/>
  <c r="C20" i="10" l="1"/>
  <c r="L25" i="10"/>
  <c r="L24" i="10"/>
  <c r="R11" i="10"/>
  <c r="C29" i="10"/>
  <c r="C28" i="10"/>
  <c r="E25" i="10"/>
  <c r="E24" i="10"/>
  <c r="D20" i="10"/>
  <c r="E20" i="10"/>
  <c r="F18" i="10"/>
  <c r="F21" i="10"/>
  <c r="H22" i="10"/>
  <c r="G27" i="10"/>
  <c r="E18" i="10"/>
  <c r="E21" i="10"/>
  <c r="G18" i="10"/>
  <c r="G21" i="10"/>
  <c r="D19" i="10"/>
  <c r="F20" i="10"/>
  <c r="I22" i="10"/>
  <c r="H18" i="10"/>
  <c r="H21" i="10"/>
  <c r="J22" i="10"/>
  <c r="C24" i="10"/>
  <c r="C25" i="10"/>
  <c r="I27" i="10"/>
  <c r="H27" i="10"/>
  <c r="D25" i="10"/>
  <c r="D24" i="10"/>
  <c r="J27" i="10"/>
  <c r="F19" i="10"/>
  <c r="C23" i="10"/>
  <c r="L27" i="10"/>
  <c r="E28" i="10"/>
  <c r="E14" i="10"/>
  <c r="E29" i="10" s="1"/>
  <c r="E19" i="10"/>
  <c r="G19" i="10"/>
  <c r="E22" i="10"/>
  <c r="J23" i="10"/>
  <c r="H26" i="10"/>
  <c r="L14" i="10"/>
  <c r="L29" i="10" s="1"/>
  <c r="L28" i="10"/>
  <c r="K27" i="10"/>
  <c r="C21" i="10"/>
  <c r="H19" i="10"/>
  <c r="F22" i="10"/>
  <c r="K23" i="10"/>
  <c r="M8" i="10"/>
  <c r="N8" i="10" s="1"/>
  <c r="O8" i="10" s="1"/>
  <c r="P8" i="10" s="1"/>
  <c r="Q8" i="10" s="1"/>
  <c r="I26" i="10"/>
  <c r="D28" i="10"/>
  <c r="D14" i="10"/>
  <c r="D29" i="10" s="1"/>
  <c r="D18" i="10"/>
  <c r="D21" i="10"/>
  <c r="I19" i="10"/>
  <c r="G22" i="10"/>
  <c r="L23" i="10"/>
  <c r="I18" i="10"/>
  <c r="I21" i="10"/>
  <c r="G20" i="10"/>
  <c r="K22" i="10"/>
  <c r="K21" i="10"/>
  <c r="D23" i="10"/>
  <c r="F25" i="10"/>
  <c r="F24" i="10"/>
  <c r="F28" i="10"/>
  <c r="F14" i="10"/>
  <c r="F29" i="10" s="1"/>
  <c r="H20" i="10"/>
  <c r="L22" i="10"/>
  <c r="L21" i="10"/>
  <c r="E23" i="10"/>
  <c r="G25" i="10"/>
  <c r="G24" i="10"/>
  <c r="C26" i="10"/>
  <c r="G28" i="10"/>
  <c r="G14" i="10"/>
  <c r="G29" i="10" s="1"/>
  <c r="I20" i="10"/>
  <c r="F23" i="10"/>
  <c r="H25" i="10"/>
  <c r="D26" i="10"/>
  <c r="C27" i="10"/>
  <c r="H28" i="10"/>
  <c r="H29" i="10"/>
  <c r="G23" i="10"/>
  <c r="I25" i="10"/>
  <c r="I24" i="10"/>
  <c r="E26" i="10"/>
  <c r="D27" i="10"/>
  <c r="I28" i="10"/>
  <c r="I14" i="10"/>
  <c r="I29" i="10" s="1"/>
  <c r="C22" i="10"/>
  <c r="H23" i="10"/>
  <c r="J25" i="10"/>
  <c r="J24" i="10"/>
  <c r="F26" i="10"/>
  <c r="E27" i="10"/>
  <c r="J28" i="10"/>
  <c r="J14" i="10"/>
  <c r="J29" i="10" s="1"/>
  <c r="C19" i="10"/>
  <c r="D22" i="10"/>
  <c r="I23" i="10"/>
  <c r="K25" i="10"/>
  <c r="K24" i="10"/>
  <c r="G26" i="10"/>
  <c r="F27" i="10"/>
  <c r="K28" i="10"/>
  <c r="K14" i="10"/>
  <c r="K29" i="10" s="1"/>
  <c r="R19" i="10" l="1"/>
  <c r="R20" i="10"/>
  <c r="P20" i="10" s="1"/>
  <c r="R26" i="10"/>
  <c r="J21" i="10"/>
  <c r="R21" i="10" s="1"/>
  <c r="M9" i="10"/>
  <c r="H24" i="10"/>
  <c r="M24" i="10" s="1"/>
  <c r="N24" i="10" s="1"/>
  <c r="O24" i="10" s="1"/>
  <c r="P24" i="10" s="1"/>
  <c r="Q24" i="10" s="1"/>
  <c r="Q4" i="10"/>
  <c r="P4" i="10"/>
  <c r="O4" i="10"/>
  <c r="N4" i="10"/>
  <c r="M4" i="10"/>
  <c r="M23" i="10"/>
  <c r="N23" i="10" s="1"/>
  <c r="O23" i="10" s="1"/>
  <c r="P23" i="10" s="1"/>
  <c r="Q23" i="10" s="1"/>
  <c r="M20" i="10" l="1"/>
  <c r="Q20" i="10"/>
  <c r="N20" i="10"/>
  <c r="O20" i="10"/>
  <c r="N9" i="10"/>
  <c r="Q19" i="10"/>
  <c r="M19" i="10"/>
  <c r="P19" i="10"/>
  <c r="O19" i="10"/>
  <c r="N19" i="10"/>
  <c r="P21" i="10"/>
  <c r="O21" i="10"/>
  <c r="N21" i="10"/>
  <c r="M21" i="10"/>
  <c r="Q21" i="10"/>
  <c r="Q6" i="10"/>
  <c r="Q7" i="10" s="1"/>
  <c r="T6" i="11" s="1"/>
  <c r="O6" i="10"/>
  <c r="O7" i="10" s="1"/>
  <c r="R6" i="11" s="1"/>
  <c r="N6" i="10"/>
  <c r="N7" i="10" s="1"/>
  <c r="Q6" i="11" s="1"/>
  <c r="Q7" i="11" s="1"/>
  <c r="P6" i="10"/>
  <c r="P7" i="10" s="1"/>
  <c r="S6" i="11" s="1"/>
  <c r="M6" i="10"/>
  <c r="S7" i="11" l="1"/>
  <c r="T7" i="11"/>
  <c r="R7" i="11"/>
  <c r="M7" i="10"/>
  <c r="N22" i="10"/>
  <c r="N10" i="10"/>
  <c r="N11" i="10" s="1"/>
  <c r="O9" i="10"/>
  <c r="O10" i="10" s="1"/>
  <c r="O22" i="10"/>
  <c r="Q22" i="10"/>
  <c r="M22" i="10"/>
  <c r="P22" i="10"/>
  <c r="P25" i="10" l="1"/>
  <c r="P26" i="10" s="1"/>
  <c r="S40" i="11"/>
  <c r="N25" i="10"/>
  <c r="N26" i="10" s="1"/>
  <c r="Q40" i="11"/>
  <c r="Q41" i="11" s="1"/>
  <c r="M25" i="10"/>
  <c r="P40" i="11"/>
  <c r="Q25" i="10"/>
  <c r="Q26" i="10" s="1"/>
  <c r="T40" i="11"/>
  <c r="O25" i="10"/>
  <c r="O26" i="10" s="1"/>
  <c r="R40" i="11"/>
  <c r="R41" i="11" s="1"/>
  <c r="N12" i="10"/>
  <c r="Q9" i="11"/>
  <c r="R7" i="10"/>
  <c r="P6" i="11"/>
  <c r="M10" i="10"/>
  <c r="M11" i="10" s="1"/>
  <c r="P9" i="10"/>
  <c r="P10" i="10" s="1"/>
  <c r="O11" i="10"/>
  <c r="R22" i="10"/>
  <c r="M26" i="10"/>
  <c r="R25" i="10"/>
  <c r="Q12" i="11" l="1"/>
  <c r="Q23" i="11" s="1"/>
  <c r="Q24" i="11" s="1"/>
  <c r="Q10" i="11"/>
  <c r="M27" i="10"/>
  <c r="P43" i="11"/>
  <c r="P44" i="11" s="1"/>
  <c r="P7" i="11"/>
  <c r="Q27" i="10"/>
  <c r="Q28" i="10" s="1"/>
  <c r="W18" i="10" s="1"/>
  <c r="W19" i="10" s="1"/>
  <c r="T43" i="11"/>
  <c r="T44" i="11" s="1"/>
  <c r="O12" i="10"/>
  <c r="R9" i="11"/>
  <c r="M12" i="10"/>
  <c r="P9" i="11"/>
  <c r="P10" i="11" s="1"/>
  <c r="O27" i="10"/>
  <c r="R43" i="11"/>
  <c r="T41" i="11"/>
  <c r="P46" i="11"/>
  <c r="P57" i="11" s="1"/>
  <c r="P58" i="11" s="1"/>
  <c r="P41" i="11"/>
  <c r="N27" i="10"/>
  <c r="Q43" i="11"/>
  <c r="S41" i="11"/>
  <c r="P27" i="10"/>
  <c r="S43" i="11"/>
  <c r="S44" i="11" s="1"/>
  <c r="Q9" i="10"/>
  <c r="P11" i="10"/>
  <c r="T46" i="11" l="1"/>
  <c r="T57" i="11" s="1"/>
  <c r="T60" i="11" s="1"/>
  <c r="T61" i="11" s="1"/>
  <c r="R27" i="10"/>
  <c r="S46" i="11"/>
  <c r="Q46" i="11"/>
  <c r="Q57" i="11" s="1"/>
  <c r="Q58" i="11" s="1"/>
  <c r="Q44" i="11"/>
  <c r="P12" i="11"/>
  <c r="P23" i="11" s="1"/>
  <c r="P24" i="11" s="1"/>
  <c r="R46" i="11"/>
  <c r="R57" i="11" s="1"/>
  <c r="R58" i="11" s="1"/>
  <c r="R44" i="11"/>
  <c r="R10" i="11"/>
  <c r="R12" i="11"/>
  <c r="R23" i="11" s="1"/>
  <c r="R24" i="11" s="1"/>
  <c r="P12" i="10"/>
  <c r="S9" i="11"/>
  <c r="Q10" i="10"/>
  <c r="S57" i="11" l="1"/>
  <c r="S58" i="11" s="1"/>
  <c r="T58" i="11"/>
  <c r="S10" i="11"/>
  <c r="S12" i="11"/>
  <c r="S23" i="11" s="1"/>
  <c r="S24" i="11" s="1"/>
  <c r="Q11" i="10"/>
  <c r="R10" i="10"/>
  <c r="T62" i="11" l="1"/>
  <c r="T66" i="11" s="1"/>
  <c r="T68" i="11" s="1"/>
  <c r="Q12" i="10"/>
  <c r="Q13" i="10" s="1"/>
  <c r="W3" i="10" s="1"/>
  <c r="W4" i="10" s="1"/>
  <c r="T9" i="11"/>
  <c r="R12" i="10"/>
  <c r="T10" i="11" l="1"/>
  <c r="T12" i="11"/>
  <c r="T23" i="11" s="1"/>
  <c r="T24" i="11" l="1"/>
  <c r="T26" i="11"/>
  <c r="T27" i="11" s="1"/>
  <c r="T28" i="11" l="1"/>
  <c r="T32" i="11" s="1"/>
  <c r="T34" i="11" s="1"/>
</calcChain>
</file>

<file path=xl/sharedStrings.xml><?xml version="1.0" encoding="utf-8"?>
<sst xmlns="http://schemas.openxmlformats.org/spreadsheetml/2006/main" count="198" uniqueCount="101">
  <si>
    <t>% of Revenue</t>
  </si>
  <si>
    <t>Taxes</t>
  </si>
  <si>
    <t>Net Income after Taxes</t>
  </si>
  <si>
    <t>Total Revenue (or Net Sales)</t>
  </si>
  <si>
    <t>Price to Earnings Multiple</t>
  </si>
  <si>
    <t>Market Capitalization (Value) as of Today</t>
  </si>
  <si>
    <t>Upside Case (In Millions)</t>
  </si>
  <si>
    <t>Other Operating Expenses</t>
  </si>
  <si>
    <t>Operating Income</t>
  </si>
  <si>
    <t>Cost of Revenue</t>
  </si>
  <si>
    <t>SG&amp;A</t>
  </si>
  <si>
    <t>Interest Expense, Net</t>
  </si>
  <si>
    <t>Pretax Income</t>
  </si>
  <si>
    <t>SALES_REV_TURN</t>
  </si>
  <si>
    <t>IS_COGS_TO_FE_AND_PP_AND_G</t>
  </si>
  <si>
    <t>IS_INC_TAX_EXP</t>
  </si>
  <si>
    <t>IS_NET_INTEREST_EXPENSE</t>
  </si>
  <si>
    <t>PRETAX_INC</t>
  </si>
  <si>
    <t>NET_INCOME</t>
  </si>
  <si>
    <t>HISTORICAL_MARKET_CAP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</si>
  <si>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</si>
  <si>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</si>
  <si>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</si>
  <si>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</si>
  <si>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</si>
  <si>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</si>
  <si>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</si>
  <si>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</si>
  <si>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</si>
  <si>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</si>
  <si>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</si>
  <si>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FY 2026</t>
  </si>
  <si>
    <t>FY 2027</t>
  </si>
  <si>
    <t>FY 2028</t>
  </si>
  <si>
    <t>FY 2029</t>
  </si>
  <si>
    <t>IS_SGA_EXPENSE</t>
  </si>
  <si>
    <t>IS_OPER_INC</t>
  </si>
  <si>
    <t>Other Non-Operating Income / (Losses)</t>
  </si>
  <si>
    <t>Downside Case (In Millions)</t>
  </si>
  <si>
    <t>5yr Compound Annual Growth Rate</t>
  </si>
  <si>
    <t>Average of Last 5 years</t>
  </si>
  <si>
    <t>Avg of Last 2 years</t>
  </si>
  <si>
    <t>% of Revenue over Last 3 years</t>
  </si>
  <si>
    <t>5yr Average Net Income Margin</t>
  </si>
  <si>
    <t>Average of Last 2 years</t>
  </si>
  <si>
    <t>5yr Average Pretax Margin</t>
  </si>
  <si>
    <t>5yr Average Operating Margin</t>
  </si>
  <si>
    <t>% of Pretax Income</t>
  </si>
  <si>
    <t>Terminal Growth</t>
  </si>
  <si>
    <t>Capital Expenditures</t>
  </si>
  <si>
    <t>Change in NWC</t>
  </si>
  <si>
    <t>Tax Rate</t>
  </si>
  <si>
    <t xml:space="preserve">Revenue </t>
  </si>
  <si>
    <t>EBIT</t>
  </si>
  <si>
    <t>% of EBIT</t>
  </si>
  <si>
    <t>% of Sales</t>
  </si>
  <si>
    <t>% of Growth</t>
  </si>
  <si>
    <t>EBIAT</t>
  </si>
  <si>
    <t>Depreciation</t>
  </si>
  <si>
    <t>CapEx</t>
  </si>
  <si>
    <t>Upside Case</t>
  </si>
  <si>
    <t>Downside Case</t>
  </si>
  <si>
    <t xml:space="preserve">Depreciation </t>
  </si>
  <si>
    <t>Average</t>
  </si>
  <si>
    <t>Change In NWC</t>
  </si>
  <si>
    <t xml:space="preserve">% of Revenue </t>
  </si>
  <si>
    <t>Wacc</t>
  </si>
  <si>
    <t>Debt</t>
  </si>
  <si>
    <t>% Debt</t>
  </si>
  <si>
    <t>Cost of Debt</t>
  </si>
  <si>
    <t>Equity Value</t>
  </si>
  <si>
    <t>% Equity</t>
  </si>
  <si>
    <t>Cost of Equity</t>
  </si>
  <si>
    <t>Risk Free Rate</t>
  </si>
  <si>
    <t>Beta</t>
  </si>
  <si>
    <t>Market Risk Premium</t>
  </si>
  <si>
    <t>Unlevered FCF</t>
  </si>
  <si>
    <t>Present Value of FCF</t>
  </si>
  <si>
    <t>Terminal Value</t>
  </si>
  <si>
    <t>Present Value of Terminal Value</t>
  </si>
  <si>
    <t>Enterprise Value</t>
  </si>
  <si>
    <t>Shares</t>
  </si>
  <si>
    <t>Share Price</t>
  </si>
  <si>
    <t>Cash</t>
  </si>
  <si>
    <t>Exit Multiple</t>
  </si>
  <si>
    <t>DCF</t>
  </si>
  <si>
    <t>Share Price Today</t>
  </si>
  <si>
    <t>PV(Market Cap)</t>
  </si>
  <si>
    <t>Assumptions - DCF</t>
  </si>
  <si>
    <t>Assumptions - Exit Multiple</t>
  </si>
  <si>
    <t>Upside P/E</t>
  </si>
  <si>
    <t>Downside P/E</t>
  </si>
  <si>
    <t>Upside</t>
  </si>
  <si>
    <t>Downside</t>
  </si>
  <si>
    <t>Market Equity Value</t>
  </si>
  <si>
    <t>All dollar figures in USD millions unless otherwise stated.</t>
  </si>
  <si>
    <t>Forecast</t>
  </si>
  <si>
    <t>Revenue Projections</t>
  </si>
  <si>
    <t>Upside Growth Rate</t>
  </si>
  <si>
    <t>Downside Growth Rate</t>
  </si>
  <si>
    <t>Exit Multiple Method (P/E applied to FY2029 Net Income)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</si>
</sst>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#,##0.0"/>
    <numFmt numFmtId="166" formatCode="_(* #,##0_);_(* \(#,##0\);_(* &quot;-&quot;??_);_(@_)"/>
    <numFmt numFmtId="167" formatCode="0.0"/>
    <numFmt numFmtId="168" formatCode="0.0000%"/>
    <numFmt numFmtId="169" formatCode="0.000000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83CCEC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mediumDashed">
        <color theme="0" tint="-0.249977111117893"/>
      </left>
      <right/>
      <top style="mediumDashed">
        <color theme="0" tint="-0.249977111117893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Dashed">
        <color theme="0" tint="-0.249977111117893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6" borderId="2"/>
    <xf numFmtId="0" fontId="8" fillId="0" borderId="0"/>
  </cellStyleXfs>
  <cellXfs count="88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0" fontId="4" fillId="3" borderId="0" xfId="0" applyFont="1" applyFill="1"/>
    <xf numFmtId="0" fontId="4" fillId="4" borderId="0" xfId="0" applyFont="1" applyFill="1"/>
    <xf numFmtId="0" fontId="5" fillId="4" borderId="0" xfId="0" applyFont="1" applyFill="1"/>
    <xf numFmtId="0" fontId="5" fillId="3" borderId="1" xfId="0" applyFont="1" applyFill="1" applyBorder="1"/>
    <xf numFmtId="0" fontId="5" fillId="4" borderId="1" xfId="0" applyFont="1" applyFill="1" applyBorder="1"/>
    <xf numFmtId="0" fontId="6" fillId="0" borderId="0" xfId="0" applyFont="1"/>
    <xf numFmtId="43" fontId="0" fillId="0" borderId="0" xfId="0" applyNumberFormat="1"/>
    <xf numFmtId="165" fontId="0" fillId="0" borderId="0" xfId="0" applyNumberFormat="1"/>
    <xf numFmtId="166" fontId="0" fillId="0" borderId="0" xfId="1" applyNumberFormat="1" applyFont="1"/>
    <xf numFmtId="0" fontId="7" fillId="6" borderId="2" xfId="3"/>
    <xf numFmtId="0" fontId="5" fillId="3" borderId="0" xfId="0" applyFont="1" applyFill="1" applyAlignment="1">
      <alignment horizontal="center"/>
    </xf>
    <xf numFmtId="3" fontId="2" fillId="5" borderId="0" xfId="0" applyNumberFormat="1" applyFont="1" applyFill="1"/>
    <xf numFmtId="167" fontId="0" fillId="2" borderId="0" xfId="0" applyNumberFormat="1" applyFill="1"/>
    <xf numFmtId="10" fontId="0" fillId="0" borderId="0" xfId="0" applyNumberFormat="1"/>
    <xf numFmtId="9" fontId="0" fillId="0" borderId="0" xfId="0" applyNumberFormat="1"/>
    <xf numFmtId="0" fontId="5" fillId="4" borderId="0" xfId="0" applyFont="1" applyFill="1" applyAlignment="1">
      <alignment horizontal="center"/>
    </xf>
    <xf numFmtId="9" fontId="0" fillId="0" borderId="0" xfId="2" applyFont="1"/>
    <xf numFmtId="10" fontId="0" fillId="0" borderId="0" xfId="2" applyNumberFormat="1" applyFont="1"/>
    <xf numFmtId="0" fontId="0" fillId="4" borderId="0" xfId="0" applyFill="1"/>
    <xf numFmtId="0" fontId="5" fillId="3" borderId="0" xfId="0" applyFont="1" applyFill="1"/>
    <xf numFmtId="2" fontId="0" fillId="0" borderId="0" xfId="0" applyNumberFormat="1"/>
    <xf numFmtId="0" fontId="1" fillId="0" borderId="0" xfId="0" applyFont="1"/>
    <xf numFmtId="3" fontId="9" fillId="0" borderId="0" xfId="4" applyNumberFormat="1" applyFont="1" applyAlignment="1">
      <alignment horizontal="right"/>
    </xf>
    <xf numFmtId="169" fontId="0" fillId="0" borderId="0" xfId="0" applyNumberFormat="1"/>
    <xf numFmtId="0" fontId="0" fillId="0" borderId="0" xfId="0" applyAlignment="1">
      <alignment horizontal="left"/>
    </xf>
    <xf numFmtId="43" fontId="0" fillId="0" borderId="0" xfId="1" applyFont="1"/>
    <xf numFmtId="0" fontId="0" fillId="0" borderId="3" xfId="0" applyBorder="1"/>
    <xf numFmtId="43" fontId="0" fillId="0" borderId="3" xfId="1" applyFont="1" applyBorder="1"/>
    <xf numFmtId="0" fontId="3" fillId="0" borderId="4" xfId="0" applyFont="1" applyBorder="1"/>
    <xf numFmtId="0" fontId="0" fillId="0" borderId="5" xfId="0" applyBorder="1"/>
    <xf numFmtId="4" fontId="0" fillId="0" borderId="5" xfId="0" applyNumberFormat="1" applyBorder="1"/>
    <xf numFmtId="43" fontId="0" fillId="0" borderId="5" xfId="1" applyFont="1" applyBorder="1"/>
    <xf numFmtId="43" fontId="0" fillId="0" borderId="6" xfId="1" applyFont="1" applyBorder="1"/>
    <xf numFmtId="0" fontId="3" fillId="0" borderId="5" xfId="0" applyFont="1" applyBorder="1"/>
    <xf numFmtId="0" fontId="5" fillId="3" borderId="8" xfId="0" applyFont="1" applyFill="1" applyBorder="1" applyAlignment="1">
      <alignment horizontal="center"/>
    </xf>
    <xf numFmtId="3" fontId="0" fillId="0" borderId="8" xfId="0" applyNumberFormat="1" applyBorder="1"/>
    <xf numFmtId="10" fontId="0" fillId="0" borderId="8" xfId="2" applyNumberFormat="1" applyFont="1" applyBorder="1"/>
    <xf numFmtId="0" fontId="0" fillId="0" borderId="8" xfId="0" applyBorder="1"/>
    <xf numFmtId="3" fontId="2" fillId="0" borderId="8" xfId="0" applyNumberFormat="1" applyFont="1" applyBorder="1"/>
    <xf numFmtId="43" fontId="0" fillId="0" borderId="8" xfId="1" applyFont="1" applyBorder="1"/>
    <xf numFmtId="0" fontId="1" fillId="0" borderId="8" xfId="0" applyFont="1" applyBorder="1"/>
    <xf numFmtId="0" fontId="0" fillId="0" borderId="6" xfId="0" applyBorder="1"/>
    <xf numFmtId="0" fontId="0" fillId="0" borderId="7" xfId="0" applyBorder="1"/>
    <xf numFmtId="0" fontId="5" fillId="4" borderId="8" xfId="0" applyFont="1" applyFill="1" applyBorder="1" applyAlignment="1">
      <alignment horizontal="center"/>
    </xf>
    <xf numFmtId="0" fontId="3" fillId="0" borderId="9" xfId="0" applyFont="1" applyBorder="1"/>
    <xf numFmtId="0" fontId="0" fillId="0" borderId="10" xfId="0" applyBorder="1"/>
    <xf numFmtId="0" fontId="0" fillId="0" borderId="11" xfId="0" applyBorder="1"/>
    <xf numFmtId="43" fontId="0" fillId="0" borderId="10" xfId="1" applyFont="1" applyBorder="1"/>
    <xf numFmtId="43" fontId="0" fillId="0" borderId="11" xfId="1" applyFont="1" applyBorder="1"/>
    <xf numFmtId="0" fontId="0" fillId="0" borderId="9" xfId="0" applyBorder="1"/>
    <xf numFmtId="43" fontId="0" fillId="0" borderId="0" xfId="1" applyFont="1" applyBorder="1"/>
    <xf numFmtId="168" fontId="0" fillId="0" borderId="0" xfId="0" applyNumberFormat="1"/>
    <xf numFmtId="0" fontId="3" fillId="0" borderId="10" xfId="0" applyFont="1" applyBorder="1"/>
    <xf numFmtId="169" fontId="3" fillId="0" borderId="11" xfId="0" applyNumberFormat="1" applyFont="1" applyBorder="1"/>
    <xf numFmtId="3" fontId="0" fillId="0" borderId="10" xfId="0" applyNumberFormat="1" applyBorder="1"/>
    <xf numFmtId="3" fontId="0" fillId="0" borderId="11" xfId="0" applyNumberFormat="1" applyBorder="1"/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5" fillId="4" borderId="12" xfId="0" applyFont="1" applyFill="1" applyBorder="1"/>
    <xf numFmtId="0" fontId="5" fillId="3" borderId="12" xfId="0" applyFont="1" applyFill="1" applyBorder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Fill="1"/>
    <xf numFmtId="0" fontId="0" fillId="0" borderId="8" xfId="0" applyFill="1" applyBorder="1"/>
    <xf numFmtId="0" fontId="0" fillId="0" borderId="2" xfId="0" applyFill="1" applyBorder="1"/>
    <xf numFmtId="3" fontId="0" fillId="0" borderId="3" xfId="0" applyNumberFormat="1" applyBorder="1"/>
    <xf numFmtId="3" fontId="2" fillId="0" borderId="3" xfId="0" applyNumberFormat="1" applyFont="1" applyBorder="1"/>
    <xf numFmtId="167" fontId="0" fillId="0" borderId="5" xfId="0" applyNumberFormat="1" applyBorder="1"/>
    <xf numFmtId="167" fontId="0" fillId="2" borderId="5" xfId="0" applyNumberFormat="1" applyFill="1" applyBorder="1"/>
    <xf numFmtId="0" fontId="0" fillId="0" borderId="4" xfId="0" applyBorder="1"/>
    <xf numFmtId="0" fontId="7" fillId="6" borderId="14" xfId="3" applyBorder="1"/>
    <xf numFmtId="164" fontId="0" fillId="0" borderId="12" xfId="0" applyNumberFormat="1" applyFill="1" applyBorder="1"/>
    <xf numFmtId="164" fontId="0" fillId="0" borderId="12" xfId="2" applyNumberFormat="1" applyFont="1" applyFill="1" applyBorder="1"/>
    <xf numFmtId="0" fontId="0" fillId="0" borderId="12" xfId="0" applyFill="1" applyBorder="1"/>
    <xf numFmtId="0" fontId="0" fillId="0" borderId="15" xfId="0" applyBorder="1"/>
    <xf numFmtId="0" fontId="0" fillId="0" borderId="15" xfId="0" applyFill="1" applyBorder="1"/>
    <xf numFmtId="0" fontId="5" fillId="4" borderId="16" xfId="0" applyFont="1" applyFill="1" applyBorder="1"/>
    <xf numFmtId="9" fontId="0" fillId="0" borderId="8" xfId="0" applyNumberFormat="1" applyFill="1" applyBorder="1"/>
    <xf numFmtId="0" fontId="0" fillId="0" borderId="7" xfId="0" applyFill="1" applyBorder="1"/>
    <xf numFmtId="0" fontId="5" fillId="3" borderId="16" xfId="0" applyFont="1" applyFill="1" applyBorder="1"/>
    <xf numFmtId="0" fontId="0" fillId="0" borderId="8" xfId="0" applyBorder="1" applyAlignment="1">
      <alignment horizontal="center"/>
    </xf>
  </cellXfs>
  <cellStyles count="5">
    <cellStyle name="Comma" xfId="1" builtinId="3"/>
    <cellStyle name="fa_row_header_standard" xfId="3" xr:uid="{A0AF65CE-DBA9-40B9-AF29-8C9F3A3C5F36}"/>
    <cellStyle name="Normal" xfId="0" builtinId="0"/>
    <cellStyle name="Normal 2" xfId="4" xr:uid="{D12034B4-FCB3-48A0-B6F9-A563598913AA}"/>
    <cellStyle name="Percent" xfId="2" builtinId="5"/>
  </cellStyles>
  <dxfs count="0"/>
  <tableStyles count="0" defaultTableStyle="TableStyleMedium2" defaultPivotStyle="PivotStyleLight16"/>
  <colors>
    <mruColors>
      <color rgb="FF83CC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9CBF-49CE-4A32-8CA3-582226766350}">
  <dimension ref="A2:Z15"/>
  <sheetViews>
    <sheetView showGridLines="0" workbookViewId="0">
      <selection activeCell="S27" sqref="S27"/>
    </sheetView>
  </sheetViews>
  <sheetFormatPr defaultRowHeight="15" x14ac:dyDescent="0.25"/>
  <cols>
    <col min="2" max="2" width="11.7109375" customWidth="1"/>
    <col min="9" max="9" width="13.28515625" bestFit="1" customWidth="1"/>
    <col min="22" max="25" width="11.5703125" bestFit="1" customWidth="1"/>
    <col min="26" max="26" width="13.28515625" bestFit="1" customWidth="1"/>
  </cols>
  <sheetData>
    <row r="2" spans="1:26" x14ac:dyDescent="0.25">
      <c r="B2" s="61" t="s">
        <v>88</v>
      </c>
      <c r="C2" s="61"/>
      <c r="D2" s="61"/>
      <c r="G2" s="48" t="s">
        <v>66</v>
      </c>
      <c r="H2" s="56"/>
      <c r="I2" s="57">
        <f>(I9*I10)+(I4*I5*(1-I6))</f>
        <v>9.0986400000000009E-2</v>
      </c>
      <c r="K2" s="30" t="s">
        <v>97</v>
      </c>
      <c r="L2" s="30"/>
      <c r="M2" s="30"/>
      <c r="N2" s="30"/>
      <c r="O2" s="30"/>
      <c r="P2" s="30"/>
      <c r="Q2" s="30"/>
      <c r="R2" s="30"/>
      <c r="S2" s="30"/>
      <c r="T2" s="30"/>
      <c r="U2" s="62"/>
      <c r="V2" s="62"/>
      <c r="W2" s="62"/>
      <c r="X2" s="62"/>
      <c r="Y2" s="62"/>
      <c r="Z2" s="30"/>
    </row>
    <row r="3" spans="1:26" x14ac:dyDescent="0.25">
      <c r="B3" s="28" t="s">
        <v>48</v>
      </c>
      <c r="C3" s="28"/>
      <c r="D3" s="17">
        <v>2.5000000000000001E-2</v>
      </c>
      <c r="G3" t="s">
        <v>67</v>
      </c>
      <c r="I3" s="54">
        <v>52623</v>
      </c>
      <c r="K3" s="68">
        <v>2015</v>
      </c>
      <c r="L3" s="65">
        <v>2016</v>
      </c>
      <c r="M3" s="65">
        <v>2017</v>
      </c>
      <c r="N3" s="65">
        <v>2018</v>
      </c>
      <c r="O3" s="65">
        <v>2019</v>
      </c>
      <c r="P3" s="65">
        <v>2020</v>
      </c>
      <c r="Q3" s="65">
        <v>2021</v>
      </c>
      <c r="R3" s="65">
        <v>2022</v>
      </c>
      <c r="S3" s="65">
        <v>2023</v>
      </c>
      <c r="T3" s="66">
        <v>2024</v>
      </c>
      <c r="U3" s="67" t="s">
        <v>96</v>
      </c>
      <c r="V3" s="65">
        <v>2025</v>
      </c>
      <c r="W3" s="65">
        <v>2026</v>
      </c>
      <c r="X3" s="65">
        <v>2027</v>
      </c>
      <c r="Y3" s="65">
        <v>2028</v>
      </c>
      <c r="Z3" s="66">
        <v>2029</v>
      </c>
    </row>
    <row r="4" spans="1:26" x14ac:dyDescent="0.25">
      <c r="B4" s="28" t="s">
        <v>58</v>
      </c>
      <c r="C4" s="28"/>
      <c r="D4" s="17">
        <v>0.03</v>
      </c>
      <c r="G4" t="s">
        <v>68</v>
      </c>
      <c r="I4" s="17">
        <v>2.1999999999999999E-2</v>
      </c>
      <c r="K4" s="2">
        <v>107006</v>
      </c>
      <c r="L4" s="2">
        <v>135987</v>
      </c>
      <c r="M4" s="2">
        <v>177866</v>
      </c>
      <c r="N4" s="2">
        <v>232887</v>
      </c>
      <c r="O4" s="2">
        <v>280522</v>
      </c>
      <c r="P4" s="2">
        <v>386064</v>
      </c>
      <c r="Q4" s="2">
        <v>469822</v>
      </c>
      <c r="R4" s="2">
        <v>513983</v>
      </c>
      <c r="S4" s="2">
        <v>574785</v>
      </c>
      <c r="T4" s="42">
        <v>637959</v>
      </c>
      <c r="U4" s="63" t="s">
        <v>92</v>
      </c>
      <c r="V4" s="29">
        <f>T4*(1+D12)</f>
        <v>708134.49000000011</v>
      </c>
      <c r="W4" s="29">
        <f>V4*(1+D12)</f>
        <v>786029.28390000015</v>
      </c>
      <c r="X4" s="29">
        <f>W4*(1+D12)</f>
        <v>872492.50512900029</v>
      </c>
      <c r="Y4" s="29">
        <f>X4*(1+D12)</f>
        <v>968466.68069319043</v>
      </c>
      <c r="Z4" s="29">
        <f>Y4*(1+D12)</f>
        <v>1074998.0155694415</v>
      </c>
    </row>
    <row r="5" spans="1:26" x14ac:dyDescent="0.25">
      <c r="B5" s="28" t="s">
        <v>49</v>
      </c>
      <c r="C5" s="28"/>
      <c r="D5" s="18">
        <v>0.15</v>
      </c>
      <c r="G5" t="s">
        <v>69</v>
      </c>
      <c r="I5" s="17">
        <v>0.03</v>
      </c>
      <c r="U5" s="64" t="s">
        <v>93</v>
      </c>
      <c r="V5" s="29">
        <f>T4*(1+D13)</f>
        <v>663477.36</v>
      </c>
      <c r="W5" s="29">
        <f>V5*(1+D13)</f>
        <v>690016.45440000005</v>
      </c>
      <c r="X5" s="29">
        <f>W5*(1+D13)</f>
        <v>717617.11257600004</v>
      </c>
      <c r="Y5" s="29">
        <f>X5*(1+D13)</f>
        <v>746321.79707904009</v>
      </c>
      <c r="Z5" s="29">
        <f>Y5*(1+D13)</f>
        <v>776174.66896220169</v>
      </c>
    </row>
    <row r="6" spans="1:26" x14ac:dyDescent="0.25">
      <c r="B6" t="s">
        <v>50</v>
      </c>
      <c r="D6" s="17">
        <v>0</v>
      </c>
      <c r="G6" t="s">
        <v>51</v>
      </c>
      <c r="I6" s="18">
        <v>0.21</v>
      </c>
    </row>
    <row r="7" spans="1:26" x14ac:dyDescent="0.25">
      <c r="B7" t="s">
        <v>51</v>
      </c>
      <c r="D7" s="17">
        <v>0.17</v>
      </c>
    </row>
    <row r="8" spans="1:26" x14ac:dyDescent="0.25">
      <c r="G8" t="s">
        <v>94</v>
      </c>
      <c r="I8" s="54">
        <v>2323998</v>
      </c>
    </row>
    <row r="9" spans="1:26" x14ac:dyDescent="0.25">
      <c r="B9" s="61" t="s">
        <v>89</v>
      </c>
      <c r="C9" s="61"/>
      <c r="D9" s="61"/>
      <c r="G9" t="s">
        <v>71</v>
      </c>
      <c r="I9" s="17">
        <v>0.97799999999999998</v>
      </c>
    </row>
    <row r="10" spans="1:26" x14ac:dyDescent="0.25">
      <c r="B10" t="s">
        <v>90</v>
      </c>
      <c r="D10">
        <v>35</v>
      </c>
      <c r="G10" t="s">
        <v>72</v>
      </c>
      <c r="I10" s="55">
        <f>I11+I12*I13</f>
        <v>9.2499999999999999E-2</v>
      </c>
    </row>
    <row r="11" spans="1:26" x14ac:dyDescent="0.25">
      <c r="B11" t="s">
        <v>91</v>
      </c>
      <c r="D11">
        <v>25</v>
      </c>
      <c r="G11" t="s">
        <v>73</v>
      </c>
      <c r="I11" s="18">
        <v>0.03</v>
      </c>
    </row>
    <row r="12" spans="1:26" x14ac:dyDescent="0.25">
      <c r="B12" t="s">
        <v>98</v>
      </c>
      <c r="D12" s="18">
        <v>0.11</v>
      </c>
      <c r="G12" t="s">
        <v>74</v>
      </c>
      <c r="I12">
        <v>1.25</v>
      </c>
    </row>
    <row r="13" spans="1:26" x14ac:dyDescent="0.25">
      <c r="B13" t="s">
        <v>99</v>
      </c>
      <c r="D13" s="18">
        <v>0.04</v>
      </c>
      <c r="G13" t="s">
        <v>75</v>
      </c>
      <c r="I13" s="18">
        <v>0.05</v>
      </c>
    </row>
    <row r="15" spans="1:26" x14ac:dyDescent="0.25">
      <c r="A15" t="s">
        <v>95</v>
      </c>
    </row>
  </sheetData>
  <mergeCells count="2">
    <mergeCell ref="B2:D2"/>
    <mergeCell ref="B9:D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457C7-8BDF-4915-B7C0-F657A529746F}">
  <dimension ref="C2:AD68"/>
  <sheetViews>
    <sheetView showGridLines="0" topLeftCell="B1" zoomScaleNormal="100" workbookViewId="0">
      <selection activeCell="Y7" sqref="Y7"/>
    </sheetView>
  </sheetViews>
  <sheetFormatPr defaultRowHeight="15" x14ac:dyDescent="0.25"/>
  <cols>
    <col min="2" max="2" width="6.7109375" customWidth="1"/>
    <col min="5" max="6" width="9.5703125" bestFit="1" customWidth="1"/>
    <col min="7" max="8" width="10.5703125" bestFit="1" customWidth="1"/>
    <col min="9" max="9" width="14.5703125" bestFit="1" customWidth="1"/>
    <col min="10" max="14" width="10.7109375" bestFit="1" customWidth="1"/>
    <col min="15" max="18" width="16.5703125" bestFit="1" customWidth="1"/>
    <col min="19" max="19" width="19.7109375" bestFit="1" customWidth="1"/>
    <col min="20" max="20" width="13.28515625" customWidth="1"/>
  </cols>
  <sheetData>
    <row r="2" spans="3:30" x14ac:dyDescent="0.25">
      <c r="C2" s="23" t="s">
        <v>60</v>
      </c>
      <c r="D2" s="23"/>
      <c r="E2" s="23"/>
      <c r="F2" s="14" t="s">
        <v>20</v>
      </c>
      <c r="G2" s="14" t="s">
        <v>21</v>
      </c>
      <c r="H2" s="14" t="s">
        <v>22</v>
      </c>
      <c r="I2" s="14" t="s">
        <v>23</v>
      </c>
      <c r="J2" s="14" t="s">
        <v>24</v>
      </c>
      <c r="K2" s="14" t="s">
        <v>25</v>
      </c>
      <c r="L2" s="14" t="s">
        <v>26</v>
      </c>
      <c r="M2" s="14" t="s">
        <v>27</v>
      </c>
      <c r="N2" s="14" t="s">
        <v>28</v>
      </c>
      <c r="O2" s="38" t="s">
        <v>29</v>
      </c>
      <c r="P2" s="14" t="s">
        <v>30</v>
      </c>
      <c r="Q2" s="14" t="s">
        <v>31</v>
      </c>
      <c r="R2" s="14" t="s">
        <v>32</v>
      </c>
      <c r="S2" s="14" t="s">
        <v>33</v>
      </c>
      <c r="T2" s="14" t="s">
        <v>34</v>
      </c>
    </row>
    <row r="3" spans="3:30" x14ac:dyDescent="0.25">
      <c r="C3" t="s">
        <v>52</v>
      </c>
      <c r="F3" s="1">
        <f>'Exit Multiple'!C3</f>
        <v>107006</v>
      </c>
      <c r="G3" s="1">
        <f>'Exit Multiple'!D3</f>
        <v>135987</v>
      </c>
      <c r="H3" s="1">
        <f>'Exit Multiple'!E3</f>
        <v>177866</v>
      </c>
      <c r="I3" s="1">
        <f>'Exit Multiple'!F3</f>
        <v>232887</v>
      </c>
      <c r="J3" s="1">
        <f>'Exit Multiple'!G3</f>
        <v>280522</v>
      </c>
      <c r="K3" s="1">
        <f>'Exit Multiple'!H3</f>
        <v>386064</v>
      </c>
      <c r="L3" s="1">
        <f>'Exit Multiple'!I3</f>
        <v>469822</v>
      </c>
      <c r="M3" s="1">
        <f>'Exit Multiple'!J3</f>
        <v>513983</v>
      </c>
      <c r="N3" s="1">
        <f>'Exit Multiple'!K3</f>
        <v>574785</v>
      </c>
      <c r="O3" s="39">
        <f>'Exit Multiple'!L3</f>
        <v>637959</v>
      </c>
      <c r="P3" s="1">
        <f>'Exit Multiple'!M3</f>
        <v>708134.49000000011</v>
      </c>
      <c r="Q3" s="1">
        <f>'Exit Multiple'!N3</f>
        <v>786029.28390000015</v>
      </c>
      <c r="R3" s="1">
        <f>'Exit Multiple'!O3</f>
        <v>872492.50512900029</v>
      </c>
      <c r="S3" s="1">
        <f>'Exit Multiple'!P3</f>
        <v>968466.68069319043</v>
      </c>
      <c r="T3" s="1">
        <f>'Exit Multiple'!Q3</f>
        <v>1074998.0155694415</v>
      </c>
    </row>
    <row r="4" spans="3:30" x14ac:dyDescent="0.25">
      <c r="C4" t="s">
        <v>56</v>
      </c>
      <c r="F4" s="20"/>
      <c r="G4" s="21">
        <f t="shared" ref="G4:T4" si="0">(G3-F3)/F3</f>
        <v>0.27083528026465803</v>
      </c>
      <c r="H4" s="21">
        <f t="shared" si="0"/>
        <v>0.30796326119408474</v>
      </c>
      <c r="I4" s="21">
        <f t="shared" si="0"/>
        <v>0.3093396152159491</v>
      </c>
      <c r="J4" s="21">
        <f t="shared" si="0"/>
        <v>0.2045412582067698</v>
      </c>
      <c r="K4" s="21">
        <f t="shared" si="0"/>
        <v>0.37623430604373276</v>
      </c>
      <c r="L4" s="21">
        <f t="shared" si="0"/>
        <v>0.21695366571345684</v>
      </c>
      <c r="M4" s="21">
        <f t="shared" si="0"/>
        <v>9.3995172639850841E-2</v>
      </c>
      <c r="N4" s="21">
        <f t="shared" si="0"/>
        <v>0.11829574129883673</v>
      </c>
      <c r="O4" s="40">
        <f t="shared" si="0"/>
        <v>0.10990892246666145</v>
      </c>
      <c r="P4" s="21">
        <f t="shared" si="0"/>
        <v>0.11000000000000017</v>
      </c>
      <c r="Q4" s="21">
        <f t="shared" si="0"/>
        <v>0.11000000000000006</v>
      </c>
      <c r="R4" s="21">
        <f t="shared" si="0"/>
        <v>0.11000000000000015</v>
      </c>
      <c r="S4" s="21">
        <f t="shared" si="0"/>
        <v>0.11000000000000013</v>
      </c>
      <c r="T4" s="21">
        <f t="shared" si="0"/>
        <v>0.11000000000000011</v>
      </c>
      <c r="AB4" s="60"/>
      <c r="AC4" s="60"/>
      <c r="AD4" s="60"/>
    </row>
    <row r="5" spans="3:30" x14ac:dyDescent="0.25">
      <c r="O5" s="41"/>
      <c r="AB5" s="60"/>
      <c r="AC5" s="60"/>
      <c r="AD5" s="17"/>
    </row>
    <row r="6" spans="3:30" x14ac:dyDescent="0.25">
      <c r="C6" t="s">
        <v>53</v>
      </c>
      <c r="F6" s="1">
        <f>'Exit Multiple'!C7</f>
        <v>2233</v>
      </c>
      <c r="G6" s="1">
        <f>'Exit Multiple'!D7</f>
        <v>4186</v>
      </c>
      <c r="H6" s="1">
        <f>'Exit Multiple'!E7</f>
        <v>4106</v>
      </c>
      <c r="I6" s="1">
        <f>'Exit Multiple'!F7</f>
        <v>12421</v>
      </c>
      <c r="J6" s="1">
        <f>'Exit Multiple'!G7</f>
        <v>14541</v>
      </c>
      <c r="K6" s="1">
        <f>'Exit Multiple'!H7</f>
        <v>22899</v>
      </c>
      <c r="L6" s="1">
        <f>'Exit Multiple'!I7</f>
        <v>24879</v>
      </c>
      <c r="M6" s="1">
        <f>'Exit Multiple'!J7</f>
        <v>12248</v>
      </c>
      <c r="N6" s="1">
        <f>'Exit Multiple'!K7</f>
        <v>36852</v>
      </c>
      <c r="O6" s="39">
        <f>'Exit Multiple'!L7</f>
        <v>68593</v>
      </c>
      <c r="P6" s="1">
        <f>'Exit Multiple'!M7</f>
        <v>69882.104207150289</v>
      </c>
      <c r="Q6" s="1">
        <f>'Exit Multiple'!N7</f>
        <v>77569.135669936892</v>
      </c>
      <c r="R6" s="1">
        <f>'Exit Multiple'!O7</f>
        <v>86101.740593629889</v>
      </c>
      <c r="S6" s="1">
        <f>'Exit Multiple'!P7</f>
        <v>95572.932058929233</v>
      </c>
      <c r="T6" s="1">
        <f>'Exit Multiple'!Q7</f>
        <v>106085.95458541135</v>
      </c>
      <c r="AB6" s="60"/>
      <c r="AC6" s="60"/>
      <c r="AD6" s="17"/>
    </row>
    <row r="7" spans="3:30" x14ac:dyDescent="0.25">
      <c r="C7" t="s">
        <v>55</v>
      </c>
      <c r="F7" s="21">
        <f>F6/F3</f>
        <v>2.0867988710913405E-2</v>
      </c>
      <c r="G7" s="21">
        <f>G6/G3</f>
        <v>3.0782354195621642E-2</v>
      </c>
      <c r="H7" s="21">
        <f>H6/H3</f>
        <v>2.3084794170892695E-2</v>
      </c>
      <c r="I7" s="21">
        <f>I6/I3</f>
        <v>5.3334879147397665E-2</v>
      </c>
      <c r="J7" s="21">
        <f t="shared" ref="J7:T7" si="1">J6/J3</f>
        <v>5.1835506662579051E-2</v>
      </c>
      <c r="K7" s="21">
        <f t="shared" si="1"/>
        <v>5.9313999751336569E-2</v>
      </c>
      <c r="L7" s="21">
        <f t="shared" si="1"/>
        <v>5.2954097509269465E-2</v>
      </c>
      <c r="M7" s="21">
        <f t="shared" si="1"/>
        <v>2.3829581912242232E-2</v>
      </c>
      <c r="N7" s="21">
        <f t="shared" si="1"/>
        <v>6.4114407996033296E-2</v>
      </c>
      <c r="O7" s="40">
        <f t="shared" si="1"/>
        <v>0.1075194487420038</v>
      </c>
      <c r="P7" s="21">
        <f t="shared" si="1"/>
        <v>9.86847910870014E-2</v>
      </c>
      <c r="Q7" s="21">
        <f t="shared" si="1"/>
        <v>9.8684791087001483E-2</v>
      </c>
      <c r="R7" s="21">
        <f t="shared" si="1"/>
        <v>9.86847910870014E-2</v>
      </c>
      <c r="S7" s="21">
        <f t="shared" si="1"/>
        <v>9.8684791087001442E-2</v>
      </c>
      <c r="T7" s="21">
        <f t="shared" si="1"/>
        <v>9.8684791087001345E-2</v>
      </c>
      <c r="AB7" s="60"/>
      <c r="AC7" s="60"/>
      <c r="AD7" s="17"/>
    </row>
    <row r="8" spans="3:30" x14ac:dyDescent="0.25">
      <c r="O8" s="41"/>
      <c r="AB8" s="60"/>
      <c r="AC8" s="60"/>
      <c r="AD8" s="18"/>
    </row>
    <row r="9" spans="3:30" x14ac:dyDescent="0.25">
      <c r="C9" t="s">
        <v>1</v>
      </c>
      <c r="F9" s="2">
        <v>950</v>
      </c>
      <c r="G9" s="2">
        <v>1425</v>
      </c>
      <c r="H9" s="2">
        <v>769</v>
      </c>
      <c r="I9" s="2">
        <v>1197</v>
      </c>
      <c r="J9" s="2">
        <v>2374</v>
      </c>
      <c r="K9" s="2">
        <v>2863</v>
      </c>
      <c r="L9" s="2">
        <v>4791</v>
      </c>
      <c r="M9" s="2">
        <v>3217</v>
      </c>
      <c r="N9" s="2">
        <v>7120</v>
      </c>
      <c r="O9" s="42">
        <v>9265</v>
      </c>
      <c r="P9" s="1">
        <f>'Exit Multiple'!M11</f>
        <v>11850.150460557616</v>
      </c>
      <c r="Q9" s="1">
        <f>'Exit Multiple'!N11</f>
        <v>13138.982733076202</v>
      </c>
      <c r="R9" s="1">
        <f>'Exit Multiple'!O11</f>
        <v>14569.586555571812</v>
      </c>
      <c r="S9" s="1">
        <f>'Exit Multiple'!P11</f>
        <v>16157.556798541958</v>
      </c>
      <c r="T9" s="1">
        <f>'Exit Multiple'!Q11</f>
        <v>17920.203768238796</v>
      </c>
      <c r="AD9" s="17"/>
    </row>
    <row r="10" spans="3:30" x14ac:dyDescent="0.25">
      <c r="C10" t="s">
        <v>54</v>
      </c>
      <c r="F10" s="21">
        <f>F9/F6</f>
        <v>0.42543663233318407</v>
      </c>
      <c r="G10" s="21">
        <f>G9/G6</f>
        <v>0.34042044911610131</v>
      </c>
      <c r="H10" s="21">
        <f t="shared" ref="H10:T10" si="2">H9/H6</f>
        <v>0.18728689722357525</v>
      </c>
      <c r="I10" s="21">
        <f t="shared" si="2"/>
        <v>9.6369052411239026E-2</v>
      </c>
      <c r="J10" s="21">
        <f t="shared" si="2"/>
        <v>0.16326249914036173</v>
      </c>
      <c r="K10" s="21">
        <f t="shared" si="2"/>
        <v>0.12502729376828683</v>
      </c>
      <c r="L10" s="21">
        <f t="shared" si="2"/>
        <v>0.1925720487157844</v>
      </c>
      <c r="M10" s="21">
        <f t="shared" si="2"/>
        <v>0.2626551273677335</v>
      </c>
      <c r="N10" s="21">
        <f t="shared" si="2"/>
        <v>0.19320525344621731</v>
      </c>
      <c r="O10" s="40">
        <f t="shared" si="2"/>
        <v>0.13507209190442174</v>
      </c>
      <c r="P10" s="21">
        <f t="shared" si="2"/>
        <v>0.16957346369294238</v>
      </c>
      <c r="Q10" s="21">
        <f t="shared" si="2"/>
        <v>0.16938415801077975</v>
      </c>
      <c r="R10" s="21">
        <f t="shared" si="2"/>
        <v>0.1692136123511738</v>
      </c>
      <c r="S10" s="21">
        <f t="shared" si="2"/>
        <v>0.16905996761279005</v>
      </c>
      <c r="T10" s="21">
        <f t="shared" si="2"/>
        <v>0.16892154892956143</v>
      </c>
      <c r="AD10" s="17"/>
    </row>
    <row r="11" spans="3:30" x14ac:dyDescent="0.25">
      <c r="O11" s="41"/>
      <c r="AD11" s="18"/>
    </row>
    <row r="12" spans="3:30" x14ac:dyDescent="0.25">
      <c r="C12" s="53" t="s">
        <v>57</v>
      </c>
      <c r="D12" s="49"/>
      <c r="E12" s="49"/>
      <c r="F12" s="58">
        <f t="shared" ref="F12:T12" si="3">F6-F9</f>
        <v>1283</v>
      </c>
      <c r="G12" s="58">
        <f t="shared" si="3"/>
        <v>2761</v>
      </c>
      <c r="H12" s="58">
        <f t="shared" si="3"/>
        <v>3337</v>
      </c>
      <c r="I12" s="58">
        <f t="shared" si="3"/>
        <v>11224</v>
      </c>
      <c r="J12" s="58">
        <f t="shared" si="3"/>
        <v>12167</v>
      </c>
      <c r="K12" s="58">
        <f t="shared" si="3"/>
        <v>20036</v>
      </c>
      <c r="L12" s="58">
        <f t="shared" si="3"/>
        <v>20088</v>
      </c>
      <c r="M12" s="58">
        <f t="shared" si="3"/>
        <v>9031</v>
      </c>
      <c r="N12" s="58">
        <f t="shared" si="3"/>
        <v>29732</v>
      </c>
      <c r="O12" s="58">
        <f t="shared" si="3"/>
        <v>59328</v>
      </c>
      <c r="P12" s="58">
        <f t="shared" si="3"/>
        <v>58031.95374659267</v>
      </c>
      <c r="Q12" s="58">
        <f t="shared" si="3"/>
        <v>64430.152936860686</v>
      </c>
      <c r="R12" s="58">
        <f t="shared" si="3"/>
        <v>71532.15403805807</v>
      </c>
      <c r="S12" s="58">
        <f t="shared" si="3"/>
        <v>79415.375260387271</v>
      </c>
      <c r="T12" s="59">
        <f t="shared" si="3"/>
        <v>88165.750817172549</v>
      </c>
    </row>
    <row r="13" spans="3:30" x14ac:dyDescent="0.25">
      <c r="O13" s="41"/>
    </row>
    <row r="14" spans="3:30" x14ac:dyDescent="0.25">
      <c r="C14" t="s">
        <v>62</v>
      </c>
      <c r="F14" s="29">
        <v>6281</v>
      </c>
      <c r="G14" s="29">
        <v>8116</v>
      </c>
      <c r="H14" s="29">
        <v>11478</v>
      </c>
      <c r="I14" s="29">
        <v>15341</v>
      </c>
      <c r="J14" s="29">
        <v>21789</v>
      </c>
      <c r="K14" s="29">
        <v>25180</v>
      </c>
      <c r="L14" s="29">
        <v>34433</v>
      </c>
      <c r="M14" s="29">
        <v>41921</v>
      </c>
      <c r="N14" s="29">
        <v>48663</v>
      </c>
      <c r="O14" s="43">
        <v>52795</v>
      </c>
      <c r="P14" s="29">
        <f>P3*W15</f>
        <v>50557.239051419943</v>
      </c>
      <c r="Q14" s="29">
        <f>Q3*W15</f>
        <v>56118.53534707614</v>
      </c>
      <c r="R14" s="29">
        <f>R3*W15</f>
        <v>62291.574235254528</v>
      </c>
      <c r="S14" s="29">
        <f>S3*W15</f>
        <v>69143.647401132534</v>
      </c>
      <c r="T14" s="29">
        <f>T3*W15</f>
        <v>76749.448615257119</v>
      </c>
    </row>
    <row r="15" spans="3:30" x14ac:dyDescent="0.25">
      <c r="C15" t="s">
        <v>0</v>
      </c>
      <c r="F15" s="21">
        <f>F14/F3</f>
        <v>5.8697643122815543E-2</v>
      </c>
      <c r="G15" s="21">
        <f t="shared" ref="G15:O15" si="4">G14/G3</f>
        <v>5.9682175502070049E-2</v>
      </c>
      <c r="H15" s="21">
        <f t="shared" si="4"/>
        <v>6.4531726130907532E-2</v>
      </c>
      <c r="I15" s="21">
        <f t="shared" si="4"/>
        <v>6.5873148780309768E-2</v>
      </c>
      <c r="J15" s="21">
        <f t="shared" si="4"/>
        <v>7.7673052380918428E-2</v>
      </c>
      <c r="K15" s="21">
        <f t="shared" si="4"/>
        <v>6.5222346553939242E-2</v>
      </c>
      <c r="L15" s="21">
        <f t="shared" si="4"/>
        <v>7.3289458560901785E-2</v>
      </c>
      <c r="M15" s="21">
        <f t="shared" si="4"/>
        <v>8.1561063303650122E-2</v>
      </c>
      <c r="N15" s="21">
        <f t="shared" si="4"/>
        <v>8.4662960933218512E-2</v>
      </c>
      <c r="O15" s="40">
        <f t="shared" si="4"/>
        <v>8.2756101881155369E-2</v>
      </c>
      <c r="P15" s="17">
        <v>7.1400000000000005E-2</v>
      </c>
      <c r="Q15" s="17">
        <v>7.1400000000000005E-2</v>
      </c>
      <c r="R15" s="17">
        <v>7.1400000000000005E-2</v>
      </c>
      <c r="S15" s="17">
        <v>7.1400000000000005E-2</v>
      </c>
      <c r="T15" s="17">
        <v>7.1400000000000005E-2</v>
      </c>
      <c r="V15" t="s">
        <v>63</v>
      </c>
      <c r="W15" s="17">
        <f>AVERAGE(F15:O15)</f>
        <v>7.1394967714988627E-2</v>
      </c>
    </row>
    <row r="16" spans="3:30" x14ac:dyDescent="0.25">
      <c r="O16" s="41"/>
    </row>
    <row r="17" spans="3:23" x14ac:dyDescent="0.25">
      <c r="C17" t="s">
        <v>59</v>
      </c>
      <c r="F17" s="29">
        <v>5387</v>
      </c>
      <c r="G17" s="29">
        <v>7804</v>
      </c>
      <c r="H17" s="29">
        <v>11955</v>
      </c>
      <c r="I17" s="29">
        <v>13427</v>
      </c>
      <c r="J17" s="29">
        <v>16861</v>
      </c>
      <c r="K17" s="29">
        <v>40140</v>
      </c>
      <c r="L17" s="29">
        <v>61053</v>
      </c>
      <c r="M17" s="29">
        <v>63645</v>
      </c>
      <c r="N17" s="29">
        <v>52729</v>
      </c>
      <c r="O17" s="43">
        <v>82999</v>
      </c>
      <c r="P17" s="29">
        <f>P3*W18</f>
        <v>61769.942528166102</v>
      </c>
      <c r="Q17" s="29">
        <f>Q3*W18</f>
        <v>68564.636206264375</v>
      </c>
      <c r="R17" s="29">
        <f>R3*W18</f>
        <v>76106.746188953475</v>
      </c>
      <c r="S17" s="29">
        <f>S3*W18</f>
        <v>84478.488269738358</v>
      </c>
      <c r="T17" s="29">
        <f>T3*W18</f>
        <v>93771.121979409596</v>
      </c>
    </row>
    <row r="18" spans="3:23" x14ac:dyDescent="0.25">
      <c r="C18" t="s">
        <v>0</v>
      </c>
      <c r="F18" s="21">
        <f>F17/F3</f>
        <v>5.0342971422163242E-2</v>
      </c>
      <c r="G18" s="21">
        <f t="shared" ref="G18" si="5">G17/G3</f>
        <v>5.7387838543390177E-2</v>
      </c>
      <c r="H18" s="21">
        <f t="shared" ref="H18" si="6">H17/H3</f>
        <v>6.7213520290555814E-2</v>
      </c>
      <c r="I18" s="21">
        <f t="shared" ref="I18" si="7">I17/I3</f>
        <v>5.7654570671613274E-2</v>
      </c>
      <c r="J18" s="21">
        <f t="shared" ref="J18" si="8">J17/J3</f>
        <v>6.0105802753438235E-2</v>
      </c>
      <c r="K18" s="21">
        <f t="shared" ref="K18" si="9">K17/K3</f>
        <v>0.10397239835882134</v>
      </c>
      <c r="L18" s="21">
        <f t="shared" ref="L18" si="10">L17/L3</f>
        <v>0.12994921480901278</v>
      </c>
      <c r="M18" s="21">
        <f t="shared" ref="M18" si="11">M17/M3</f>
        <v>0.12382705264571008</v>
      </c>
      <c r="N18" s="21">
        <f t="shared" ref="N18" si="12">N17/N3</f>
        <v>9.1736910322990334E-2</v>
      </c>
      <c r="O18" s="40">
        <f t="shared" ref="O18" si="13">O17/O3</f>
        <v>0.13010083720113674</v>
      </c>
      <c r="P18" s="17">
        <v>8.72E-2</v>
      </c>
      <c r="Q18" s="17">
        <v>8.72E-2</v>
      </c>
      <c r="R18" s="17">
        <v>8.72E-2</v>
      </c>
      <c r="S18" s="17">
        <v>8.72E-2</v>
      </c>
      <c r="T18" s="17">
        <v>8.72E-2</v>
      </c>
      <c r="V18" t="s">
        <v>63</v>
      </c>
      <c r="W18" s="17">
        <f>AVERAGE(F18:O18)</f>
        <v>8.7229111701883202E-2</v>
      </c>
    </row>
    <row r="19" spans="3:23" x14ac:dyDescent="0.25">
      <c r="O19" s="41"/>
    </row>
    <row r="20" spans="3:23" x14ac:dyDescent="0.25">
      <c r="C20" t="s">
        <v>64</v>
      </c>
      <c r="F20" s="26">
        <v>2557</v>
      </c>
      <c r="G20" s="26">
        <v>3916</v>
      </c>
      <c r="H20" s="26">
        <v>-173</v>
      </c>
      <c r="I20" s="26">
        <v>-1043</v>
      </c>
      <c r="J20" s="26">
        <v>-2438</v>
      </c>
      <c r="K20" s="26">
        <v>13481</v>
      </c>
      <c r="L20" s="26">
        <v>-19611</v>
      </c>
      <c r="M20" s="25">
        <v>-8148</v>
      </c>
      <c r="N20" s="25">
        <v>-5876</v>
      </c>
      <c r="O20" s="44">
        <v>-4648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3:23" x14ac:dyDescent="0.25">
      <c r="C21" t="s">
        <v>65</v>
      </c>
      <c r="F21" s="21">
        <f>F20/F3</f>
        <v>2.3895856307122966E-2</v>
      </c>
      <c r="G21" s="21">
        <f t="shared" ref="G21" si="14">G20/G3</f>
        <v>2.8796870289071748E-2</v>
      </c>
      <c r="H21" s="21">
        <f t="shared" ref="H21" si="15">H20/H3</f>
        <v>-9.7264232624560065E-4</v>
      </c>
      <c r="I21" s="21">
        <f t="shared" ref="I21" si="16">I20/I3</f>
        <v>-4.4785668586052466E-3</v>
      </c>
      <c r="J21" s="21">
        <f t="shared" ref="J21" si="17">J20/J3</f>
        <v>-8.6909404609977117E-3</v>
      </c>
      <c r="K21" s="21">
        <f t="shared" ref="K21" si="18">K20/K3</f>
        <v>3.4919080774172155E-2</v>
      </c>
      <c r="L21" s="21">
        <f t="shared" ref="L21" si="19">L20/L3</f>
        <v>-4.1741340337404377E-2</v>
      </c>
      <c r="M21" s="21">
        <f t="shared" ref="M21" si="20">M20/M3</f>
        <v>-1.5852664387732668E-2</v>
      </c>
      <c r="N21" s="21">
        <f t="shared" ref="N21" si="21">N20/N3</f>
        <v>-1.0222952930226084E-2</v>
      </c>
      <c r="O21" s="40">
        <f t="shared" ref="O21" si="22">O20/O3</f>
        <v>-7.2857346631993595E-3</v>
      </c>
      <c r="P21">
        <v>0</v>
      </c>
      <c r="Q21">
        <v>0</v>
      </c>
      <c r="R21">
        <v>0</v>
      </c>
      <c r="S21">
        <v>0</v>
      </c>
      <c r="T21">
        <v>0</v>
      </c>
      <c r="V21" t="s">
        <v>63</v>
      </c>
      <c r="W21" s="17">
        <f>AVERAGE(F21:O21)</f>
        <v>-1.6330345940441881E-4</v>
      </c>
    </row>
    <row r="22" spans="3:23" x14ac:dyDescent="0.25">
      <c r="O22" s="41"/>
    </row>
    <row r="23" spans="3:23" x14ac:dyDescent="0.25">
      <c r="C23" s="32" t="s">
        <v>76</v>
      </c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45"/>
      <c r="P23" s="35">
        <f>P12+P14-P17-P20</f>
        <v>46819.250269846503</v>
      </c>
      <c r="Q23" s="35">
        <f>Q12+Q14-Q17-Q20</f>
        <v>51984.052077672444</v>
      </c>
      <c r="R23" s="35">
        <f>R12+R14-R17-R20</f>
        <v>57716.982084359115</v>
      </c>
      <c r="S23" s="35">
        <f>S12+S14-S17-S20</f>
        <v>64080.534391781461</v>
      </c>
      <c r="T23" s="36">
        <f>T12+T14-T17-T20</f>
        <v>71144.077453020087</v>
      </c>
    </row>
    <row r="24" spans="3:23" x14ac:dyDescent="0.25">
      <c r="C24" s="48" t="s">
        <v>77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50"/>
      <c r="P24" s="51">
        <f>P23/(1+'Valuation Assumptions'!I2)^1</f>
        <v>42914.604865694477</v>
      </c>
      <c r="Q24" s="51">
        <f>Q23/(1+'Valuation Assumptions'!I2)^2</f>
        <v>43674.853357822823</v>
      </c>
      <c r="R24" s="51">
        <f>R23/(1+'Valuation Assumptions'!I2)^3</f>
        <v>44447.322488296544</v>
      </c>
      <c r="S24" s="51">
        <f>S23/(1+'Valuation Assumptions'!I2)^4</f>
        <v>45232.311045244569</v>
      </c>
      <c r="T24" s="52">
        <f>T23/(1+'Valuation Assumptions'!I2)^5</f>
        <v>46030.11586779682</v>
      </c>
    </row>
    <row r="25" spans="3:23" x14ac:dyDescent="0.25">
      <c r="O25" s="41"/>
      <c r="P25" s="29"/>
      <c r="Q25" s="29"/>
      <c r="R25" s="29"/>
      <c r="S25" s="29"/>
      <c r="T25" s="29"/>
    </row>
    <row r="26" spans="3:23" x14ac:dyDescent="0.25">
      <c r="C26" t="s">
        <v>78</v>
      </c>
      <c r="O26" s="41"/>
      <c r="P26" s="29"/>
      <c r="Q26" s="29"/>
      <c r="R26" s="29"/>
      <c r="S26" s="29"/>
      <c r="T26" s="29">
        <f>T23*(1+'Valuation Assumptions'!D3)/('Valuation Assumptions'!I2-'Valuation Assumptions'!D3)</f>
        <v>1105116.8026948823</v>
      </c>
    </row>
    <row r="27" spans="3:23" x14ac:dyDescent="0.25">
      <c r="C27" s="30" t="s">
        <v>79</v>
      </c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46"/>
      <c r="P27" s="31"/>
      <c r="Q27" s="31"/>
      <c r="R27" s="31"/>
      <c r="S27" s="31"/>
      <c r="T27" s="31">
        <f>T26/(1+'Valuation Assumptions'!I2)^5</f>
        <v>715008.98313124734</v>
      </c>
    </row>
    <row r="28" spans="3:23" x14ac:dyDescent="0.25">
      <c r="C28" s="3" t="s">
        <v>80</v>
      </c>
      <c r="O28" s="41"/>
      <c r="P28" s="29"/>
      <c r="Q28" s="29"/>
      <c r="R28" s="29"/>
      <c r="S28" s="29"/>
      <c r="T28" s="29">
        <f>SUM(P24:T24)+T27</f>
        <v>937308.19075610256</v>
      </c>
    </row>
    <row r="29" spans="3:23" x14ac:dyDescent="0.25">
      <c r="C29" t="s">
        <v>83</v>
      </c>
      <c r="O29" s="41"/>
      <c r="P29" s="29"/>
      <c r="Q29" s="29"/>
      <c r="R29" s="29"/>
      <c r="S29" s="29"/>
      <c r="T29" s="29">
        <f>78779+22423</f>
        <v>101202</v>
      </c>
    </row>
    <row r="30" spans="3:23" x14ac:dyDescent="0.25">
      <c r="C30" t="s">
        <v>67</v>
      </c>
      <c r="O30" s="41"/>
      <c r="P30" s="29"/>
      <c r="Q30" s="29"/>
      <c r="R30" s="29"/>
      <c r="S30" s="29"/>
      <c r="T30" s="29">
        <v>52623</v>
      </c>
    </row>
    <row r="31" spans="3:23" x14ac:dyDescent="0.25">
      <c r="O31" s="41"/>
      <c r="P31" s="29"/>
      <c r="Q31" s="29"/>
      <c r="R31" s="29"/>
      <c r="S31" s="29"/>
      <c r="T31" s="29"/>
    </row>
    <row r="32" spans="3:23" x14ac:dyDescent="0.25">
      <c r="C32" s="3" t="s">
        <v>70</v>
      </c>
      <c r="O32" s="41"/>
      <c r="P32" s="29"/>
      <c r="Q32" s="29"/>
      <c r="R32" s="29"/>
      <c r="S32" s="29"/>
      <c r="T32" s="29">
        <f>T28-(T30-T29)</f>
        <v>985887.19075610256</v>
      </c>
    </row>
    <row r="33" spans="3:20" x14ac:dyDescent="0.25">
      <c r="C33" t="s">
        <v>81</v>
      </c>
      <c r="O33" s="41"/>
      <c r="P33" s="29"/>
      <c r="Q33" s="29"/>
      <c r="R33" s="29"/>
      <c r="S33" s="29"/>
      <c r="T33" s="29">
        <v>10597.7</v>
      </c>
    </row>
    <row r="34" spans="3:20" x14ac:dyDescent="0.25">
      <c r="C34" s="37" t="s">
        <v>82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45"/>
      <c r="P34" s="35"/>
      <c r="Q34" s="35"/>
      <c r="R34" s="35"/>
      <c r="S34" s="35"/>
      <c r="T34" s="35">
        <f>T32/T33</f>
        <v>93.028410952952285</v>
      </c>
    </row>
    <row r="35" spans="3:20" x14ac:dyDescent="0.25">
      <c r="O35" s="41"/>
    </row>
    <row r="36" spans="3:20" x14ac:dyDescent="0.25">
      <c r="C36" s="6" t="s">
        <v>61</v>
      </c>
      <c r="D36" s="22"/>
      <c r="E36" s="22"/>
      <c r="F36" s="19" t="s">
        <v>20</v>
      </c>
      <c r="G36" s="19" t="s">
        <v>21</v>
      </c>
      <c r="H36" s="19" t="s">
        <v>22</v>
      </c>
      <c r="I36" s="19" t="s">
        <v>23</v>
      </c>
      <c r="J36" s="19" t="s">
        <v>24</v>
      </c>
      <c r="K36" s="19" t="s">
        <v>25</v>
      </c>
      <c r="L36" s="19" t="s">
        <v>26</v>
      </c>
      <c r="M36" s="19" t="s">
        <v>27</v>
      </c>
      <c r="N36" s="19" t="s">
        <v>28</v>
      </c>
      <c r="O36" s="47" t="s">
        <v>29</v>
      </c>
      <c r="P36" s="19" t="s">
        <v>30</v>
      </c>
      <c r="Q36" s="19" t="s">
        <v>31</v>
      </c>
      <c r="R36" s="19" t="s">
        <v>32</v>
      </c>
      <c r="S36" s="19" t="s">
        <v>33</v>
      </c>
      <c r="T36" s="19" t="s">
        <v>34</v>
      </c>
    </row>
    <row r="37" spans="3:20" x14ac:dyDescent="0.25">
      <c r="C37" t="s">
        <v>52</v>
      </c>
      <c r="F37" s="2">
        <v>107006</v>
      </c>
      <c r="G37" s="2">
        <v>135987</v>
      </c>
      <c r="H37" s="2">
        <v>177866</v>
      </c>
      <c r="I37" s="2">
        <v>232887</v>
      </c>
      <c r="J37" s="2">
        <v>280522</v>
      </c>
      <c r="K37" s="2">
        <v>386064</v>
      </c>
      <c r="L37" s="2">
        <v>469822</v>
      </c>
      <c r="M37" s="2">
        <v>513983</v>
      </c>
      <c r="N37" s="2">
        <v>574785</v>
      </c>
      <c r="O37" s="42">
        <v>637959</v>
      </c>
      <c r="P37" s="1">
        <f>'Exit Multiple'!M18</f>
        <v>663477.36</v>
      </c>
      <c r="Q37" s="1">
        <f>'Exit Multiple'!N18</f>
        <v>690016.45440000005</v>
      </c>
      <c r="R37" s="1">
        <f>'Exit Multiple'!O18</f>
        <v>717617.11257600004</v>
      </c>
      <c r="S37" s="1">
        <f>'Exit Multiple'!P18</f>
        <v>746321.79707904009</v>
      </c>
      <c r="T37" s="1">
        <f>'Exit Multiple'!Q18</f>
        <v>776174.66896220169</v>
      </c>
    </row>
    <row r="38" spans="3:20" x14ac:dyDescent="0.25">
      <c r="C38" t="s">
        <v>56</v>
      </c>
      <c r="G38" s="21">
        <f>(G37-F37)/F37</f>
        <v>0.27083528026465803</v>
      </c>
      <c r="H38" s="21">
        <f t="shared" ref="H38:T38" si="23">(H37-G37)/G37</f>
        <v>0.30796326119408474</v>
      </c>
      <c r="I38" s="21">
        <f t="shared" si="23"/>
        <v>0.3093396152159491</v>
      </c>
      <c r="J38" s="21">
        <f t="shared" si="23"/>
        <v>0.2045412582067698</v>
      </c>
      <c r="K38" s="21">
        <f t="shared" si="23"/>
        <v>0.37623430604373276</v>
      </c>
      <c r="L38" s="21">
        <f t="shared" si="23"/>
        <v>0.21695366571345684</v>
      </c>
      <c r="M38" s="21">
        <f t="shared" si="23"/>
        <v>9.3995172639850841E-2</v>
      </c>
      <c r="N38" s="21">
        <f t="shared" si="23"/>
        <v>0.11829574129883673</v>
      </c>
      <c r="O38" s="40">
        <f t="shared" si="23"/>
        <v>0.10990892246666145</v>
      </c>
      <c r="P38" s="21">
        <f t="shared" si="23"/>
        <v>3.999999999999998E-2</v>
      </c>
      <c r="Q38" s="21">
        <f t="shared" si="23"/>
        <v>4.0000000000000091E-2</v>
      </c>
      <c r="R38" s="21">
        <f t="shared" si="23"/>
        <v>3.9999999999999994E-2</v>
      </c>
      <c r="S38" s="21">
        <f t="shared" si="23"/>
        <v>4.0000000000000056E-2</v>
      </c>
      <c r="T38" s="21">
        <f t="shared" si="23"/>
        <v>3.9999999999999994E-2</v>
      </c>
    </row>
    <row r="39" spans="3:20" x14ac:dyDescent="0.25">
      <c r="O39" s="41"/>
    </row>
    <row r="40" spans="3:20" x14ac:dyDescent="0.25">
      <c r="C40" t="s">
        <v>53</v>
      </c>
      <c r="F40" s="1">
        <f t="shared" ref="F40:O40" si="24">F6</f>
        <v>2233</v>
      </c>
      <c r="G40" s="1">
        <f t="shared" si="24"/>
        <v>4186</v>
      </c>
      <c r="H40" s="1">
        <f t="shared" si="24"/>
        <v>4106</v>
      </c>
      <c r="I40" s="1">
        <f t="shared" si="24"/>
        <v>12421</v>
      </c>
      <c r="J40" s="1">
        <f t="shared" si="24"/>
        <v>14541</v>
      </c>
      <c r="K40" s="1">
        <f t="shared" si="24"/>
        <v>22899</v>
      </c>
      <c r="L40" s="1">
        <f t="shared" si="24"/>
        <v>24879</v>
      </c>
      <c r="M40" s="1">
        <f t="shared" si="24"/>
        <v>12248</v>
      </c>
      <c r="N40" s="1">
        <f t="shared" si="24"/>
        <v>36852</v>
      </c>
      <c r="O40" s="39">
        <f t="shared" si="24"/>
        <v>68593</v>
      </c>
      <c r="P40" s="1">
        <f>'Exit Multiple'!M22</f>
        <v>32452.948278751574</v>
      </c>
      <c r="Q40" s="1">
        <f>'Exit Multiple'!N22</f>
        <v>33751.06620990159</v>
      </c>
      <c r="R40" s="1">
        <f>'Exit Multiple'!O22</f>
        <v>35101.108858297695</v>
      </c>
      <c r="S40" s="1">
        <f>'Exit Multiple'!P22</f>
        <v>36505.153212629608</v>
      </c>
      <c r="T40" s="1">
        <f>'Exit Multiple'!Q22</f>
        <v>37965.359341134783</v>
      </c>
    </row>
    <row r="41" spans="3:20" x14ac:dyDescent="0.25">
      <c r="C41" t="s">
        <v>55</v>
      </c>
      <c r="F41" s="21">
        <f>F40/F37</f>
        <v>2.0867988710913405E-2</v>
      </c>
      <c r="G41" s="21">
        <f t="shared" ref="G41:T41" si="25">G40/G37</f>
        <v>3.0782354195621642E-2</v>
      </c>
      <c r="H41" s="21">
        <f t="shared" si="25"/>
        <v>2.3084794170892695E-2</v>
      </c>
      <c r="I41" s="21">
        <f t="shared" si="25"/>
        <v>5.3334879147397665E-2</v>
      </c>
      <c r="J41" s="21">
        <f t="shared" si="25"/>
        <v>5.1835506662579051E-2</v>
      </c>
      <c r="K41" s="21">
        <f t="shared" si="25"/>
        <v>5.9313999751336569E-2</v>
      </c>
      <c r="L41" s="21">
        <f t="shared" si="25"/>
        <v>5.2954097509269465E-2</v>
      </c>
      <c r="M41" s="21">
        <f t="shared" si="25"/>
        <v>2.3829581912242232E-2</v>
      </c>
      <c r="N41" s="21">
        <f t="shared" si="25"/>
        <v>6.4114407996033296E-2</v>
      </c>
      <c r="O41" s="40">
        <f t="shared" si="25"/>
        <v>0.1075194487420038</v>
      </c>
      <c r="P41" s="21">
        <f t="shared" si="25"/>
        <v>4.8913422273748078E-2</v>
      </c>
      <c r="Q41" s="21">
        <f t="shared" si="25"/>
        <v>4.8913422273748008E-2</v>
      </c>
      <c r="R41" s="21">
        <f t="shared" si="25"/>
        <v>4.8913422273748071E-2</v>
      </c>
      <c r="S41" s="21">
        <f t="shared" si="25"/>
        <v>4.8913422273748071E-2</v>
      </c>
      <c r="T41" s="21">
        <f t="shared" si="25"/>
        <v>4.8913422273748057E-2</v>
      </c>
    </row>
    <row r="42" spans="3:20" x14ac:dyDescent="0.25">
      <c r="O42" s="41"/>
    </row>
    <row r="43" spans="3:20" x14ac:dyDescent="0.25">
      <c r="C43" t="s">
        <v>1</v>
      </c>
      <c r="F43" s="2">
        <v>950</v>
      </c>
      <c r="G43" s="2">
        <v>1425</v>
      </c>
      <c r="H43" s="2">
        <v>769</v>
      </c>
      <c r="I43" s="2">
        <v>1197</v>
      </c>
      <c r="J43" s="2">
        <v>2374</v>
      </c>
      <c r="K43" s="2">
        <v>2863</v>
      </c>
      <c r="L43" s="2">
        <v>4791</v>
      </c>
      <c r="M43" s="2">
        <v>3217</v>
      </c>
      <c r="N43" s="2">
        <v>7120</v>
      </c>
      <c r="O43" s="42">
        <v>9265</v>
      </c>
      <c r="P43" s="1">
        <f>'Exit Multiple'!M26</f>
        <v>5649.3692274159894</v>
      </c>
      <c r="Q43" s="1">
        <f>'Exit Multiple'!N26</f>
        <v>5867.0158301781312</v>
      </c>
      <c r="R43" s="1">
        <f>'Exit Multiple'!O26</f>
        <v>6093.3682970507743</v>
      </c>
      <c r="S43" s="1">
        <f>'Exit Multiple'!P26</f>
        <v>6328.7748625983158</v>
      </c>
      <c r="T43" s="1">
        <f>'Exit Multiple'!Q26</f>
        <v>6573.5976907677568</v>
      </c>
    </row>
    <row r="44" spans="3:20" x14ac:dyDescent="0.25">
      <c r="C44" t="s">
        <v>54</v>
      </c>
      <c r="F44" s="21">
        <f>F43/F40</f>
        <v>0.42543663233318407</v>
      </c>
      <c r="G44" s="21">
        <f t="shared" ref="G44:T44" si="26">G43/G40</f>
        <v>0.34042044911610131</v>
      </c>
      <c r="H44" s="21">
        <f t="shared" si="26"/>
        <v>0.18728689722357525</v>
      </c>
      <c r="I44" s="21">
        <f t="shared" si="26"/>
        <v>9.6369052411239026E-2</v>
      </c>
      <c r="J44" s="21">
        <f t="shared" si="26"/>
        <v>0.16326249914036173</v>
      </c>
      <c r="K44" s="21">
        <f t="shared" si="26"/>
        <v>0.12502729376828683</v>
      </c>
      <c r="L44" s="21">
        <f t="shared" si="26"/>
        <v>0.1925720487157844</v>
      </c>
      <c r="M44" s="21">
        <f t="shared" si="26"/>
        <v>0.2626551273677335</v>
      </c>
      <c r="N44" s="21">
        <f t="shared" si="26"/>
        <v>0.19320525344621731</v>
      </c>
      <c r="O44" s="40">
        <f t="shared" si="26"/>
        <v>0.13507209190442174</v>
      </c>
      <c r="P44" s="21">
        <f t="shared" si="26"/>
        <v>0.17407876717058984</v>
      </c>
      <c r="Q44" s="21">
        <f t="shared" si="26"/>
        <v>0.17383201448186897</v>
      </c>
      <c r="R44" s="21">
        <f t="shared" si="26"/>
        <v>0.17359475228117582</v>
      </c>
      <c r="S44" s="21">
        <f t="shared" si="26"/>
        <v>0.17336661554974006</v>
      </c>
      <c r="T44" s="21">
        <f t="shared" si="26"/>
        <v>0.17314725330797495</v>
      </c>
    </row>
    <row r="45" spans="3:20" x14ac:dyDescent="0.25">
      <c r="O45" s="41"/>
    </row>
    <row r="46" spans="3:20" x14ac:dyDescent="0.25">
      <c r="C46" s="53" t="s">
        <v>57</v>
      </c>
      <c r="D46" s="49"/>
      <c r="E46" s="49"/>
      <c r="F46" s="58">
        <f>F40-F43</f>
        <v>1283</v>
      </c>
      <c r="G46" s="58">
        <f t="shared" ref="G46:T46" si="27">G40-G43</f>
        <v>2761</v>
      </c>
      <c r="H46" s="58">
        <f t="shared" si="27"/>
        <v>3337</v>
      </c>
      <c r="I46" s="58">
        <f t="shared" si="27"/>
        <v>11224</v>
      </c>
      <c r="J46" s="58">
        <f t="shared" si="27"/>
        <v>12167</v>
      </c>
      <c r="K46" s="58">
        <f t="shared" si="27"/>
        <v>20036</v>
      </c>
      <c r="L46" s="58">
        <f t="shared" si="27"/>
        <v>20088</v>
      </c>
      <c r="M46" s="58">
        <f t="shared" si="27"/>
        <v>9031</v>
      </c>
      <c r="N46" s="58">
        <f t="shared" si="27"/>
        <v>29732</v>
      </c>
      <c r="O46" s="58">
        <f t="shared" si="27"/>
        <v>59328</v>
      </c>
      <c r="P46" s="58">
        <f t="shared" si="27"/>
        <v>26803.579051335582</v>
      </c>
      <c r="Q46" s="58">
        <f t="shared" si="27"/>
        <v>27884.05037972346</v>
      </c>
      <c r="R46" s="58">
        <f t="shared" si="27"/>
        <v>29007.740561246923</v>
      </c>
      <c r="S46" s="58">
        <f t="shared" si="27"/>
        <v>30176.378350031293</v>
      </c>
      <c r="T46" s="59">
        <f t="shared" si="27"/>
        <v>31391.761650367025</v>
      </c>
    </row>
    <row r="47" spans="3:20" x14ac:dyDescent="0.25">
      <c r="O47" s="41"/>
    </row>
    <row r="48" spans="3:20" x14ac:dyDescent="0.25">
      <c r="C48" t="s">
        <v>62</v>
      </c>
      <c r="F48" s="24">
        <v>6281</v>
      </c>
      <c r="G48" s="24">
        <v>8116</v>
      </c>
      <c r="H48" s="24">
        <v>11478</v>
      </c>
      <c r="I48" s="24">
        <v>15341</v>
      </c>
      <c r="J48" s="29">
        <v>21789</v>
      </c>
      <c r="K48" s="29">
        <v>25180</v>
      </c>
      <c r="L48" s="29">
        <v>34433</v>
      </c>
      <c r="M48" s="29">
        <v>41921</v>
      </c>
      <c r="N48" s="29">
        <v>48663</v>
      </c>
      <c r="O48" s="43">
        <v>52795</v>
      </c>
      <c r="P48" s="29">
        <f>P37*W49</f>
        <v>47368.944696825885</v>
      </c>
      <c r="Q48" s="29">
        <f>Q37*W49</f>
        <v>49263.702484698922</v>
      </c>
      <c r="R48" s="29">
        <f>R37*W49</f>
        <v>51234.250584086883</v>
      </c>
      <c r="S48" s="29">
        <f>S37*W49</f>
        <v>53283.620607450364</v>
      </c>
      <c r="T48" s="29">
        <f>T37*W49</f>
        <v>55414.965431748373</v>
      </c>
    </row>
    <row r="49" spans="3:23" x14ac:dyDescent="0.25">
      <c r="C49" t="s">
        <v>0</v>
      </c>
      <c r="F49" s="21">
        <f>F48/F37</f>
        <v>5.8697643122815543E-2</v>
      </c>
      <c r="G49" s="21">
        <f t="shared" ref="G49" si="28">G48/G37</f>
        <v>5.9682175502070049E-2</v>
      </c>
      <c r="H49" s="21">
        <f t="shared" ref="H49" si="29">H48/H37</f>
        <v>6.4531726130907532E-2</v>
      </c>
      <c r="I49" s="21">
        <f t="shared" ref="I49" si="30">I48/I37</f>
        <v>6.5873148780309768E-2</v>
      </c>
      <c r="J49" s="21">
        <f t="shared" ref="J49" si="31">J48/J37</f>
        <v>7.7673052380918428E-2</v>
      </c>
      <c r="K49" s="21">
        <f t="shared" ref="K49" si="32">K48/K37</f>
        <v>6.5222346553939242E-2</v>
      </c>
      <c r="L49" s="21">
        <f t="shared" ref="L49" si="33">L48/L37</f>
        <v>7.3289458560901785E-2</v>
      </c>
      <c r="M49" s="21">
        <f t="shared" ref="M49" si="34">M48/M37</f>
        <v>8.1561063303650122E-2</v>
      </c>
      <c r="N49" s="21">
        <f t="shared" ref="N49" si="35">N48/N37</f>
        <v>8.4662960933218512E-2</v>
      </c>
      <c r="O49" s="40">
        <f t="shared" ref="O49" si="36">O48/O37</f>
        <v>8.2756101881155369E-2</v>
      </c>
      <c r="P49" s="17">
        <v>7.1400000000000005E-2</v>
      </c>
      <c r="Q49" s="17">
        <v>7.1400000000000005E-2</v>
      </c>
      <c r="R49" s="17">
        <v>7.1400000000000005E-2</v>
      </c>
      <c r="S49" s="17">
        <v>7.1400000000000005E-2</v>
      </c>
      <c r="T49" s="17">
        <v>7.1400000000000005E-2</v>
      </c>
      <c r="V49" t="s">
        <v>63</v>
      </c>
      <c r="W49" s="17">
        <f>AVERAGE(F49:O49)</f>
        <v>7.1394967714988627E-2</v>
      </c>
    </row>
    <row r="50" spans="3:23" x14ac:dyDescent="0.25">
      <c r="O50" s="41"/>
    </row>
    <row r="51" spans="3:23" x14ac:dyDescent="0.25">
      <c r="C51" t="s">
        <v>59</v>
      </c>
      <c r="F51">
        <v>5387</v>
      </c>
      <c r="G51">
        <v>7804</v>
      </c>
      <c r="H51">
        <v>11955</v>
      </c>
      <c r="I51">
        <v>13427</v>
      </c>
      <c r="J51" s="29">
        <v>16861</v>
      </c>
      <c r="K51" s="29">
        <v>40140</v>
      </c>
      <c r="L51" s="29">
        <v>61053</v>
      </c>
      <c r="M51" s="29">
        <v>63645</v>
      </c>
      <c r="N51" s="29">
        <v>52729</v>
      </c>
      <c r="O51" s="43">
        <v>82999</v>
      </c>
      <c r="P51" s="29">
        <f>P37*W52</f>
        <v>57874.540747110572</v>
      </c>
      <c r="Q51" s="29">
        <f>Q37*W52</f>
        <v>60189.522376995003</v>
      </c>
      <c r="R51" s="29">
        <f>R37*W52</f>
        <v>62597.103272074804</v>
      </c>
      <c r="S51" s="29">
        <f>S37*W52</f>
        <v>65100.987402957799</v>
      </c>
      <c r="T51" s="29">
        <f>T37*W52</f>
        <v>67705.026899076111</v>
      </c>
    </row>
    <row r="52" spans="3:23" x14ac:dyDescent="0.25">
      <c r="C52" t="s">
        <v>0</v>
      </c>
      <c r="F52" s="21">
        <f>F51/F37</f>
        <v>5.0342971422163242E-2</v>
      </c>
      <c r="G52" s="21">
        <f t="shared" ref="G52:O52" si="37">G51/G37</f>
        <v>5.7387838543390177E-2</v>
      </c>
      <c r="H52" s="21">
        <f t="shared" si="37"/>
        <v>6.7213520290555814E-2</v>
      </c>
      <c r="I52" s="21">
        <f t="shared" si="37"/>
        <v>5.7654570671613274E-2</v>
      </c>
      <c r="J52" s="21">
        <f t="shared" si="37"/>
        <v>6.0105802753438235E-2</v>
      </c>
      <c r="K52" s="21">
        <f t="shared" si="37"/>
        <v>0.10397239835882134</v>
      </c>
      <c r="L52" s="21">
        <f t="shared" si="37"/>
        <v>0.12994921480901278</v>
      </c>
      <c r="M52" s="21">
        <f t="shared" si="37"/>
        <v>0.12382705264571008</v>
      </c>
      <c r="N52" s="21">
        <f t="shared" si="37"/>
        <v>9.1736910322990334E-2</v>
      </c>
      <c r="O52" s="40">
        <f t="shared" si="37"/>
        <v>0.13010083720113674</v>
      </c>
      <c r="P52" s="17">
        <v>8.72E-2</v>
      </c>
      <c r="Q52" s="17">
        <v>8.72E-2</v>
      </c>
      <c r="R52" s="17">
        <v>8.72E-2</v>
      </c>
      <c r="S52" s="17">
        <v>8.72E-2</v>
      </c>
      <c r="T52" s="17">
        <v>8.72E-2</v>
      </c>
      <c r="V52" t="s">
        <v>63</v>
      </c>
      <c r="W52" s="17">
        <f>AVERAGE(F52:O52)</f>
        <v>8.7229111701883202E-2</v>
      </c>
    </row>
    <row r="53" spans="3:23" x14ac:dyDescent="0.25">
      <c r="O53" s="41"/>
    </row>
    <row r="54" spans="3:23" x14ac:dyDescent="0.25">
      <c r="C54" t="s">
        <v>64</v>
      </c>
      <c r="F54" s="26">
        <v>2557</v>
      </c>
      <c r="G54" s="26">
        <v>3916</v>
      </c>
      <c r="H54" s="26">
        <v>-173</v>
      </c>
      <c r="I54" s="26">
        <v>-1043</v>
      </c>
      <c r="J54" s="26">
        <v>-2438</v>
      </c>
      <c r="K54" s="26">
        <v>13481</v>
      </c>
      <c r="L54" s="26">
        <v>-19611</v>
      </c>
      <c r="M54" s="25">
        <v>-8148</v>
      </c>
      <c r="N54" s="25">
        <v>-5876</v>
      </c>
      <c r="O54" s="44">
        <v>-4648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3:23" x14ac:dyDescent="0.25">
      <c r="C55" t="s">
        <v>65</v>
      </c>
      <c r="F55" s="21">
        <f>F54/F37</f>
        <v>2.3895856307122966E-2</v>
      </c>
      <c r="G55" s="21">
        <f t="shared" ref="G55:O55" si="38">G54/G37</f>
        <v>2.8796870289071748E-2</v>
      </c>
      <c r="H55" s="21">
        <f t="shared" si="38"/>
        <v>-9.7264232624560065E-4</v>
      </c>
      <c r="I55" s="21">
        <f t="shared" si="38"/>
        <v>-4.4785668586052466E-3</v>
      </c>
      <c r="J55" s="21">
        <f t="shared" si="38"/>
        <v>-8.6909404609977117E-3</v>
      </c>
      <c r="K55" s="21">
        <f t="shared" si="38"/>
        <v>3.4919080774172155E-2</v>
      </c>
      <c r="L55" s="21">
        <f t="shared" si="38"/>
        <v>-4.1741340337404377E-2</v>
      </c>
      <c r="M55" s="21">
        <f t="shared" si="38"/>
        <v>-1.5852664387732668E-2</v>
      </c>
      <c r="N55" s="21">
        <f t="shared" si="38"/>
        <v>-1.0222952930226084E-2</v>
      </c>
      <c r="O55" s="40">
        <f t="shared" si="38"/>
        <v>-7.2857346631993595E-3</v>
      </c>
      <c r="P55">
        <v>0</v>
      </c>
      <c r="Q55">
        <v>0</v>
      </c>
      <c r="R55">
        <v>0</v>
      </c>
      <c r="S55">
        <v>0</v>
      </c>
      <c r="T55">
        <v>0</v>
      </c>
      <c r="V55" t="s">
        <v>63</v>
      </c>
      <c r="W55" s="17">
        <f>AVERAGE(F55:O55)</f>
        <v>-1.6330345940441881E-4</v>
      </c>
    </row>
    <row r="56" spans="3:23" x14ac:dyDescent="0.25">
      <c r="O56" s="41"/>
    </row>
    <row r="57" spans="3:23" x14ac:dyDescent="0.25">
      <c r="C57" s="32" t="s">
        <v>76</v>
      </c>
      <c r="D57" s="33"/>
      <c r="E57" s="33"/>
      <c r="F57" s="34"/>
      <c r="G57" s="34"/>
      <c r="H57" s="33"/>
      <c r="I57" s="33"/>
      <c r="J57" s="33"/>
      <c r="K57" s="33"/>
      <c r="L57" s="33"/>
      <c r="M57" s="33"/>
      <c r="N57" s="33"/>
      <c r="O57" s="45"/>
      <c r="P57" s="35">
        <f>P46+P48-P51-P54</f>
        <v>16297.983001050903</v>
      </c>
      <c r="Q57" s="35">
        <f>Q46+Q48-Q51-Q54</f>
        <v>16958.230487427376</v>
      </c>
      <c r="R57" s="35">
        <f>R46+R48-R51-R54</f>
        <v>17644.887873258995</v>
      </c>
      <c r="S57" s="35">
        <f>S46+S48-S51-S54</f>
        <v>18359.011554523859</v>
      </c>
      <c r="T57" s="36">
        <f>T46+T48-T51-T54</f>
        <v>19101.700183039284</v>
      </c>
    </row>
    <row r="58" spans="3:23" x14ac:dyDescent="0.25">
      <c r="C58" s="48" t="s">
        <v>77</v>
      </c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50"/>
      <c r="P58" s="51">
        <f>P57/(1+'Valuation Assumptions'!I2)^1</f>
        <v>14938.759090902418</v>
      </c>
      <c r="Q58" s="51">
        <f>Q57/(1+'Valuation Assumptions'!I2)^2</f>
        <v>14247.604796946274</v>
      </c>
      <c r="R58" s="51">
        <f>R57/(1+'Valuation Assumptions'!I2)^3</f>
        <v>13588.167524530125</v>
      </c>
      <c r="S58" s="51">
        <f>S57/(1+'Valuation Assumptions'!I2)^4</f>
        <v>12959.013669273745</v>
      </c>
      <c r="T58" s="52">
        <f>T57/(1+'Valuation Assumptions'!I2)^5</f>
        <v>12358.772566526399</v>
      </c>
    </row>
    <row r="59" spans="3:23" x14ac:dyDescent="0.25">
      <c r="O59" s="41"/>
      <c r="P59" s="29"/>
      <c r="Q59" s="29"/>
      <c r="R59" s="29"/>
      <c r="S59" s="29"/>
      <c r="T59" s="29"/>
    </row>
    <row r="60" spans="3:23" x14ac:dyDescent="0.25">
      <c r="C60" t="s">
        <v>78</v>
      </c>
      <c r="O60" s="41"/>
      <c r="P60" s="29"/>
      <c r="Q60" s="29"/>
      <c r="R60" s="29"/>
      <c r="S60" s="29"/>
      <c r="T60" s="29">
        <f>T57*(1+'Valuation Assumptions'!D3)/('Valuation Assumptions'!I2-'Valuation Assumptions'!D3)</f>
        <v>296716.33378416253</v>
      </c>
      <c r="U60" s="27"/>
    </row>
    <row r="61" spans="3:23" x14ac:dyDescent="0.25">
      <c r="C61" s="30" t="s">
        <v>79</v>
      </c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46"/>
      <c r="P61" s="31"/>
      <c r="Q61" s="31"/>
      <c r="R61" s="31"/>
      <c r="S61" s="31"/>
      <c r="T61" s="31">
        <f>T60/(1+'Valuation Assumptions'!I2)^5</f>
        <v>191975.04153415791</v>
      </c>
    </row>
    <row r="62" spans="3:23" x14ac:dyDescent="0.25">
      <c r="C62" s="3" t="s">
        <v>80</v>
      </c>
      <c r="O62" s="41"/>
      <c r="P62" s="29"/>
      <c r="Q62" s="29"/>
      <c r="R62" s="29"/>
      <c r="S62" s="29"/>
      <c r="T62" s="29">
        <f>SUM(P58:T58)+T61</f>
        <v>260067.35918233686</v>
      </c>
    </row>
    <row r="63" spans="3:23" x14ac:dyDescent="0.25">
      <c r="C63" t="s">
        <v>83</v>
      </c>
      <c r="O63" s="41"/>
      <c r="P63" s="29"/>
      <c r="Q63" s="29"/>
      <c r="R63" s="29"/>
      <c r="S63" s="29"/>
      <c r="T63" s="29">
        <f>78779+22423</f>
        <v>101202</v>
      </c>
    </row>
    <row r="64" spans="3:23" x14ac:dyDescent="0.25">
      <c r="C64" t="s">
        <v>67</v>
      </c>
      <c r="O64" s="41"/>
      <c r="P64" s="29"/>
      <c r="Q64" s="29"/>
      <c r="R64" s="29"/>
      <c r="S64" s="29"/>
      <c r="T64" s="29">
        <v>52623</v>
      </c>
    </row>
    <row r="65" spans="3:20" x14ac:dyDescent="0.25">
      <c r="O65" s="41"/>
      <c r="P65" s="29"/>
      <c r="Q65" s="29"/>
      <c r="R65" s="29"/>
      <c r="S65" s="29"/>
      <c r="T65" s="29"/>
    </row>
    <row r="66" spans="3:20" x14ac:dyDescent="0.25">
      <c r="C66" s="3" t="s">
        <v>70</v>
      </c>
      <c r="O66" s="41"/>
      <c r="P66" s="29"/>
      <c r="Q66" s="29"/>
      <c r="R66" s="29"/>
      <c r="S66" s="29"/>
      <c r="T66" s="29">
        <f>T62-(T64-T63)</f>
        <v>308646.35918233683</v>
      </c>
    </row>
    <row r="67" spans="3:20" x14ac:dyDescent="0.25">
      <c r="C67" t="s">
        <v>81</v>
      </c>
      <c r="O67" s="41"/>
      <c r="P67" s="29"/>
      <c r="Q67" s="29"/>
      <c r="R67" s="29"/>
      <c r="S67" s="29"/>
      <c r="T67" s="29">
        <v>10597.7</v>
      </c>
    </row>
    <row r="68" spans="3:20" x14ac:dyDescent="0.25">
      <c r="C68" s="37" t="s">
        <v>82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5"/>
      <c r="Q68" s="35"/>
      <c r="R68" s="35"/>
      <c r="S68" s="35"/>
      <c r="T68" s="35">
        <f>T66/T67</f>
        <v>29.123900391814903</v>
      </c>
    </row>
  </sheetData>
  <mergeCells count="5">
    <mergeCell ref="AB8:AC8"/>
    <mergeCell ref="AB4:AD4"/>
    <mergeCell ref="AB5:AC5"/>
    <mergeCell ref="AB6:AC6"/>
    <mergeCell ref="AB7:AC7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DFEAC-62B2-4869-AC51-76B7C1EF8633}">
  <dimension ref="A1:W29"/>
  <sheetViews>
    <sheetView showGridLines="0" zoomScale="96" zoomScaleNormal="96" workbookViewId="0">
      <selection activeCell="W10" sqref="W10"/>
    </sheetView>
  </sheetViews>
  <sheetFormatPr defaultColWidth="8.85546875" defaultRowHeight="15" x14ac:dyDescent="0.25"/>
  <cols>
    <col min="1" max="1" width="38.28515625" customWidth="1"/>
    <col min="2" max="2" width="24.7109375" customWidth="1"/>
    <col min="8" max="8" width="10.42578125" customWidth="1"/>
    <col min="9" max="9" width="9.85546875" customWidth="1"/>
    <col min="11" max="11" width="11.42578125" customWidth="1"/>
    <col min="12" max="12" width="10.7109375" customWidth="1"/>
    <col min="16" max="17" width="9.5703125" bestFit="1" customWidth="1"/>
    <col min="18" max="18" width="8.85546875" customWidth="1"/>
    <col min="19" max="19" width="32" customWidth="1"/>
    <col min="21" max="21" width="5.7109375" customWidth="1"/>
    <col min="22" max="25" width="15.42578125" customWidth="1"/>
  </cols>
  <sheetData>
    <row r="1" spans="1:23" ht="29.25" thickBot="1" x14ac:dyDescent="0.5">
      <c r="A1" s="9"/>
      <c r="B1" s="9"/>
    </row>
    <row r="2" spans="1:23" x14ac:dyDescent="0.25">
      <c r="A2" s="4" t="s">
        <v>6</v>
      </c>
      <c r="B2" s="4"/>
      <c r="C2" s="14" t="s">
        <v>20</v>
      </c>
      <c r="D2" s="14" t="s">
        <v>21</v>
      </c>
      <c r="E2" s="14" t="s">
        <v>22</v>
      </c>
      <c r="F2" s="14" t="s">
        <v>23</v>
      </c>
      <c r="G2" s="14" t="s">
        <v>24</v>
      </c>
      <c r="H2" s="14" t="s">
        <v>25</v>
      </c>
      <c r="I2" s="14" t="s">
        <v>26</v>
      </c>
      <c r="J2" s="14" t="s">
        <v>27</v>
      </c>
      <c r="K2" s="14" t="s">
        <v>28</v>
      </c>
      <c r="L2" s="14" t="s">
        <v>29</v>
      </c>
      <c r="M2" s="14" t="s">
        <v>30</v>
      </c>
      <c r="N2" s="14" t="s">
        <v>31</v>
      </c>
      <c r="O2" s="14" t="s">
        <v>32</v>
      </c>
      <c r="P2" s="14" t="s">
        <v>33</v>
      </c>
      <c r="Q2" s="14" t="s">
        <v>34</v>
      </c>
      <c r="R2" s="7"/>
      <c r="S2" s="86"/>
      <c r="V2" t="s">
        <v>100</v>
      </c>
    </row>
    <row r="3" spans="1:23" x14ac:dyDescent="0.25">
      <c r="A3" t="s">
        <v>3</v>
      </c>
      <c r="B3" s="13" t="s">
        <v>13</v>
      </c>
      <c r="C3" s="2">
        <v>107006</v>
      </c>
      <c r="D3" s="2">
        <v>135987</v>
      </c>
      <c r="E3" s="2">
        <v>177866</v>
      </c>
      <c r="F3" s="2">
        <v>232887</v>
      </c>
      <c r="G3" s="2">
        <v>280522</v>
      </c>
      <c r="H3" s="2">
        <v>386064</v>
      </c>
      <c r="I3" s="2">
        <v>469822</v>
      </c>
      <c r="J3" s="2">
        <v>513983</v>
      </c>
      <c r="K3" s="2">
        <v>574785</v>
      </c>
      <c r="L3" s="2">
        <v>637959</v>
      </c>
      <c r="M3" s="15">
        <f>'Valuation Assumptions'!V4</f>
        <v>708134.49000000011</v>
      </c>
      <c r="N3" s="15">
        <f>'Valuation Assumptions'!W4</f>
        <v>786029.28390000015</v>
      </c>
      <c r="O3" s="15">
        <f>'Valuation Assumptions'!X4</f>
        <v>872492.50512900029</v>
      </c>
      <c r="P3" s="15">
        <f>'Valuation Assumptions'!Y4</f>
        <v>968466.68069319043</v>
      </c>
      <c r="Q3" s="15">
        <f>'Valuation Assumptions'!Z4</f>
        <v>1074998.0155694415</v>
      </c>
      <c r="R3" s="78">
        <f>RATE(5,0,-L3,Q3)</f>
        <v>0.11000000000001085</v>
      </c>
      <c r="S3" s="70" t="s">
        <v>39</v>
      </c>
      <c r="V3" t="s">
        <v>87</v>
      </c>
      <c r="W3" s="10">
        <f>Q13/(1+'Valuation Assumptions'!I2)^5</f>
        <v>2014538.9014641759</v>
      </c>
    </row>
    <row r="4" spans="1:23" x14ac:dyDescent="0.25">
      <c r="A4" t="s">
        <v>9</v>
      </c>
      <c r="B4" s="13" t="s">
        <v>14</v>
      </c>
      <c r="C4" s="2">
        <v>71651</v>
      </c>
      <c r="D4" s="2">
        <v>88265</v>
      </c>
      <c r="E4" s="2">
        <v>111934</v>
      </c>
      <c r="F4" s="2">
        <v>139156</v>
      </c>
      <c r="G4" s="2">
        <v>165536</v>
      </c>
      <c r="H4" s="2">
        <v>233307</v>
      </c>
      <c r="I4" s="2">
        <v>272344</v>
      </c>
      <c r="J4" s="2">
        <v>288831</v>
      </c>
      <c r="K4" s="2">
        <v>304739</v>
      </c>
      <c r="L4" s="2">
        <v>326288</v>
      </c>
      <c r="M4" s="2">
        <f>M3*$R4</f>
        <v>362179.68000000005</v>
      </c>
      <c r="N4" s="2">
        <f>N3*$R4</f>
        <v>402019.44480000011</v>
      </c>
      <c r="O4" s="2">
        <f>O3*$R4</f>
        <v>446241.58372800017</v>
      </c>
      <c r="P4" s="2">
        <f>P3*$R4</f>
        <v>495328.1579380802</v>
      </c>
      <c r="Q4" s="2">
        <f>Q3*$R4</f>
        <v>549814.25531126908</v>
      </c>
      <c r="R4" s="78">
        <f>MIN(SUM(H4:L4)/SUM(H3:L3),SUM(J4:L4)/SUM(J3:L3),L4/L3)</f>
        <v>0.51145606535843213</v>
      </c>
      <c r="S4" s="84" t="s">
        <v>0</v>
      </c>
      <c r="V4" t="s">
        <v>86</v>
      </c>
      <c r="W4" s="29">
        <f>W3/DCF!T33</f>
        <v>190.09208615682419</v>
      </c>
    </row>
    <row r="5" spans="1:23" x14ac:dyDescent="0.25">
      <c r="A5" t="s">
        <v>10</v>
      </c>
      <c r="B5" s="13" t="s">
        <v>35</v>
      </c>
      <c r="C5" s="2">
        <v>7001</v>
      </c>
      <c r="D5" s="2">
        <v>9665</v>
      </c>
      <c r="E5" s="2">
        <v>13743</v>
      </c>
      <c r="F5" s="2">
        <v>18150</v>
      </c>
      <c r="G5" s="2">
        <v>24081</v>
      </c>
      <c r="H5" s="2">
        <v>28676</v>
      </c>
      <c r="I5" s="2">
        <v>41374</v>
      </c>
      <c r="J5" s="2">
        <v>54129</v>
      </c>
      <c r="K5" s="2">
        <v>56186</v>
      </c>
      <c r="L5" s="2">
        <v>55266</v>
      </c>
      <c r="M5" s="2">
        <f>M3*$R5</f>
        <v>61345.26</v>
      </c>
      <c r="N5" s="2">
        <f>N3*$R5</f>
        <v>68093.238600000012</v>
      </c>
      <c r="O5" s="2">
        <f>O3*$R5</f>
        <v>75583.494846000016</v>
      </c>
      <c r="P5" s="2">
        <f>P3*$R5</f>
        <v>83897.67927906003</v>
      </c>
      <c r="Q5" s="2">
        <f>Q3*$R5</f>
        <v>93126.423999756647</v>
      </c>
      <c r="R5" s="78">
        <f>MIN(SUM(H5:L5)/SUM(H3:L3), SUM(J5:L5)/SUM(J3:L3), L5/L3)</f>
        <v>8.6629391543970688E-2</v>
      </c>
      <c r="S5" s="70" t="s">
        <v>0</v>
      </c>
    </row>
    <row r="6" spans="1:23" x14ac:dyDescent="0.25">
      <c r="A6" t="s">
        <v>7</v>
      </c>
      <c r="B6" s="13"/>
      <c r="C6" s="2">
        <v>26121</v>
      </c>
      <c r="D6" s="2">
        <v>33871</v>
      </c>
      <c r="E6" s="2">
        <v>48083</v>
      </c>
      <c r="F6" s="2">
        <v>63160</v>
      </c>
      <c r="G6" s="2">
        <v>76364</v>
      </c>
      <c r="H6" s="2">
        <v>101182</v>
      </c>
      <c r="I6" s="2">
        <v>131225</v>
      </c>
      <c r="J6" s="2">
        <v>158775</v>
      </c>
      <c r="K6" s="2">
        <v>177008</v>
      </c>
      <c r="L6" s="2">
        <v>187812</v>
      </c>
      <c r="M6" s="2">
        <f>M3*$R6</f>
        <v>214727.44579284973</v>
      </c>
      <c r="N6" s="2">
        <f>N3*$R6</f>
        <v>238347.46483006323</v>
      </c>
      <c r="O6" s="2">
        <f>O3*$R6</f>
        <v>264565.68596137024</v>
      </c>
      <c r="P6" s="2">
        <f>P3*$R6</f>
        <v>293667.91141712095</v>
      </c>
      <c r="Q6" s="2">
        <f>Q3*$R6</f>
        <v>325971.3816730043</v>
      </c>
      <c r="R6" s="78">
        <f>SUM(J6:L6)/SUM(J3:L3)</f>
        <v>0.30322975201059577</v>
      </c>
      <c r="S6" s="84" t="s">
        <v>42</v>
      </c>
    </row>
    <row r="7" spans="1:23" x14ac:dyDescent="0.25">
      <c r="A7" t="s">
        <v>8</v>
      </c>
      <c r="B7" s="13" t="s">
        <v>36</v>
      </c>
      <c r="C7" s="2">
        <v>2233</v>
      </c>
      <c r="D7" s="2">
        <v>4186</v>
      </c>
      <c r="E7" s="2">
        <v>4106</v>
      </c>
      <c r="F7" s="2">
        <v>12421</v>
      </c>
      <c r="G7" s="2">
        <v>14541</v>
      </c>
      <c r="H7" s="2">
        <v>22899</v>
      </c>
      <c r="I7" s="2">
        <v>24879</v>
      </c>
      <c r="J7" s="2">
        <v>12248</v>
      </c>
      <c r="K7" s="2">
        <v>36852</v>
      </c>
      <c r="L7" s="2">
        <v>68593</v>
      </c>
      <c r="M7" s="2">
        <f>M3-SUM(M4:M6)</f>
        <v>69882.104207150289</v>
      </c>
      <c r="N7" s="2">
        <f t="shared" ref="N7:Q7" si="0">N3-SUM(N4:N6)</f>
        <v>77569.135669936892</v>
      </c>
      <c r="O7" s="2">
        <f t="shared" si="0"/>
        <v>86101.740593629889</v>
      </c>
      <c r="P7" s="2">
        <f t="shared" si="0"/>
        <v>95572.932058929233</v>
      </c>
      <c r="Q7" s="2">
        <f t="shared" si="0"/>
        <v>106085.95458541135</v>
      </c>
      <c r="R7" s="79">
        <f>SUM(M7:Q7)/SUM(M3:Q3)</f>
        <v>9.8684791087001414E-2</v>
      </c>
      <c r="S7" s="70" t="s">
        <v>46</v>
      </c>
    </row>
    <row r="8" spans="1:23" x14ac:dyDescent="0.25">
      <c r="A8" t="s">
        <v>11</v>
      </c>
      <c r="B8" s="13" t="s">
        <v>16</v>
      </c>
      <c r="C8" s="2">
        <v>409</v>
      </c>
      <c r="D8" s="2">
        <v>384</v>
      </c>
      <c r="E8" s="2">
        <v>646</v>
      </c>
      <c r="F8" s="2">
        <v>977</v>
      </c>
      <c r="G8" s="2">
        <v>768</v>
      </c>
      <c r="H8" s="2">
        <v>1092</v>
      </c>
      <c r="I8" s="2">
        <v>1361</v>
      </c>
      <c r="J8" s="2">
        <v>1378</v>
      </c>
      <c r="K8" s="2">
        <v>233</v>
      </c>
      <c r="L8" s="2">
        <v>-2271</v>
      </c>
      <c r="M8" s="2">
        <f>AVERAGE(K8:L8)</f>
        <v>-1019</v>
      </c>
      <c r="N8" s="2">
        <f>M8</f>
        <v>-1019</v>
      </c>
      <c r="O8" s="2">
        <f t="shared" ref="O8:Q8" si="1">N8</f>
        <v>-1019</v>
      </c>
      <c r="P8" s="2">
        <f t="shared" si="1"/>
        <v>-1019</v>
      </c>
      <c r="Q8" s="2">
        <f t="shared" si="1"/>
        <v>-1019</v>
      </c>
      <c r="R8" s="80"/>
      <c r="S8" s="84" t="s">
        <v>44</v>
      </c>
    </row>
    <row r="9" spans="1:23" x14ac:dyDescent="0.25">
      <c r="A9" t="s">
        <v>37</v>
      </c>
      <c r="B9" s="13"/>
      <c r="C9" s="2">
        <v>-256</v>
      </c>
      <c r="D9" s="2">
        <v>90</v>
      </c>
      <c r="E9" s="2">
        <v>346</v>
      </c>
      <c r="F9" s="2">
        <v>-183</v>
      </c>
      <c r="G9" s="2">
        <v>203</v>
      </c>
      <c r="H9" s="2">
        <v>2371</v>
      </c>
      <c r="I9" s="2">
        <v>14633</v>
      </c>
      <c r="J9" s="2">
        <v>-16806</v>
      </c>
      <c r="K9" s="2">
        <v>938</v>
      </c>
      <c r="L9" s="2">
        <v>-2250</v>
      </c>
      <c r="M9" s="2">
        <f>AVERAGE(H9:L9)</f>
        <v>-222.8</v>
      </c>
      <c r="N9" s="2">
        <f>M9</f>
        <v>-222.8</v>
      </c>
      <c r="O9" s="2">
        <f>N9</f>
        <v>-222.8</v>
      </c>
      <c r="P9" s="2">
        <f>O9</f>
        <v>-222.8</v>
      </c>
      <c r="Q9" s="2">
        <f>P9</f>
        <v>-222.8</v>
      </c>
      <c r="R9" s="79"/>
      <c r="S9" s="84" t="s">
        <v>40</v>
      </c>
    </row>
    <row r="10" spans="1:23" x14ac:dyDescent="0.25">
      <c r="A10" t="s">
        <v>12</v>
      </c>
      <c r="B10" s="13" t="s">
        <v>17</v>
      </c>
      <c r="C10" s="2">
        <v>1568</v>
      </c>
      <c r="D10" s="2">
        <v>3892</v>
      </c>
      <c r="E10" s="2">
        <v>3806</v>
      </c>
      <c r="F10" s="2">
        <v>11261</v>
      </c>
      <c r="G10" s="2">
        <v>13976</v>
      </c>
      <c r="H10" s="2">
        <v>24178</v>
      </c>
      <c r="I10" s="2">
        <v>38151</v>
      </c>
      <c r="J10" s="2">
        <v>-5936</v>
      </c>
      <c r="K10" s="2">
        <v>37557</v>
      </c>
      <c r="L10" s="2">
        <v>68614</v>
      </c>
      <c r="M10" s="2">
        <f>M7-M8+M9</f>
        <v>70678.304207150286</v>
      </c>
      <c r="N10" s="2">
        <f t="shared" ref="N10:Q10" si="2">N7-N8+N9</f>
        <v>78365.335669936889</v>
      </c>
      <c r="O10" s="2">
        <f t="shared" si="2"/>
        <v>86897.940593629886</v>
      </c>
      <c r="P10" s="2">
        <f t="shared" si="2"/>
        <v>96369.13205892923</v>
      </c>
      <c r="Q10" s="2">
        <f t="shared" si="2"/>
        <v>106882.15458541135</v>
      </c>
      <c r="R10" s="79">
        <f>SUM(M10:Q10)/SUM(M$3:Q$3)</f>
        <v>9.9587487412636053E-2</v>
      </c>
      <c r="S10" s="70" t="s">
        <v>45</v>
      </c>
    </row>
    <row r="11" spans="1:23" x14ac:dyDescent="0.25">
      <c r="A11" t="s">
        <v>1</v>
      </c>
      <c r="B11" s="13" t="s">
        <v>15</v>
      </c>
      <c r="C11" s="2">
        <v>950</v>
      </c>
      <c r="D11" s="2">
        <v>1425</v>
      </c>
      <c r="E11" s="2">
        <v>769</v>
      </c>
      <c r="F11" s="2">
        <v>1197</v>
      </c>
      <c r="G11" s="2">
        <v>2374</v>
      </c>
      <c r="H11" s="2">
        <v>2863</v>
      </c>
      <c r="I11" s="2">
        <v>4791</v>
      </c>
      <c r="J11" s="2">
        <v>3217</v>
      </c>
      <c r="K11" s="2">
        <v>7120</v>
      </c>
      <c r="L11" s="2">
        <v>9265</v>
      </c>
      <c r="M11" s="2">
        <f>M10*$R11</f>
        <v>11850.150460557616</v>
      </c>
      <c r="N11" s="2">
        <f>N10*$R11</f>
        <v>13138.982733076202</v>
      </c>
      <c r="O11" s="2">
        <f>O10*$R11</f>
        <v>14569.586555571812</v>
      </c>
      <c r="P11" s="2">
        <f>P10*$R11</f>
        <v>16157.556798541958</v>
      </c>
      <c r="Q11" s="2">
        <f>Q10*$R11</f>
        <v>17920.203768238796</v>
      </c>
      <c r="R11" s="78">
        <f>MAX(SUM(H11:L11)/SUM(H10:L10),L11/L10)</f>
        <v>0.16766319726384685</v>
      </c>
      <c r="S11" s="84" t="s">
        <v>47</v>
      </c>
    </row>
    <row r="12" spans="1:23" x14ac:dyDescent="0.25">
      <c r="A12" t="s">
        <v>2</v>
      </c>
      <c r="B12" s="13" t="s">
        <v>18</v>
      </c>
      <c r="C12" s="2">
        <v>596</v>
      </c>
      <c r="D12" s="2">
        <v>2371</v>
      </c>
      <c r="E12" s="2">
        <v>3033</v>
      </c>
      <c r="F12" s="2">
        <v>10073</v>
      </c>
      <c r="G12" s="2">
        <v>11588</v>
      </c>
      <c r="H12" s="2">
        <v>21331</v>
      </c>
      <c r="I12" s="2">
        <v>33364</v>
      </c>
      <c r="J12" s="2">
        <v>-2722</v>
      </c>
      <c r="K12" s="2">
        <v>30425</v>
      </c>
      <c r="L12" s="2">
        <v>59248</v>
      </c>
      <c r="M12" s="2">
        <f t="shared" ref="M12:Q12" si="3">M10-M11</f>
        <v>58828.153746592667</v>
      </c>
      <c r="N12" s="2">
        <f t="shared" si="3"/>
        <v>65226.352936860683</v>
      </c>
      <c r="O12" s="2">
        <f t="shared" si="3"/>
        <v>72328.354038058082</v>
      </c>
      <c r="P12" s="2">
        <f t="shared" si="3"/>
        <v>80211.575260387268</v>
      </c>
      <c r="Q12" s="2">
        <f t="shared" si="3"/>
        <v>88961.950817172561</v>
      </c>
      <c r="R12" s="79">
        <f>SUM(M12:Q12)/SUM(M$3:Q$3)</f>
        <v>8.2890330865560385E-2</v>
      </c>
      <c r="S12" s="70" t="s">
        <v>43</v>
      </c>
    </row>
    <row r="13" spans="1:23" x14ac:dyDescent="0.25">
      <c r="A13" t="s">
        <v>5</v>
      </c>
      <c r="B13" s="13" t="s">
        <v>19</v>
      </c>
      <c r="C13" s="2">
        <v>318344.19</v>
      </c>
      <c r="D13" s="2">
        <v>357687.99</v>
      </c>
      <c r="E13" s="2">
        <v>566023.48</v>
      </c>
      <c r="F13" s="2">
        <v>737467.27</v>
      </c>
      <c r="G13" s="2">
        <v>920224.32</v>
      </c>
      <c r="H13" s="2">
        <v>1638235.79</v>
      </c>
      <c r="I13" s="2">
        <v>1697179.06</v>
      </c>
      <c r="J13" s="2">
        <v>860328</v>
      </c>
      <c r="K13" s="2">
        <v>1577593.02</v>
      </c>
      <c r="L13" s="2">
        <v>2323998.27</v>
      </c>
      <c r="Q13" s="2">
        <f>Q12*Q14</f>
        <v>3113668.2786010397</v>
      </c>
      <c r="R13" s="81"/>
      <c r="S13" s="46"/>
    </row>
    <row r="14" spans="1:23" x14ac:dyDescent="0.25">
      <c r="A14" s="37" t="s">
        <v>4</v>
      </c>
      <c r="B14" s="37"/>
      <c r="C14" s="74">
        <f t="shared" ref="C14:L14" si="4">IF(C13/C12&lt;0,"NA",C13/C12)</f>
        <v>534.13454697986583</v>
      </c>
      <c r="D14" s="74">
        <f t="shared" si="4"/>
        <v>150.85954871362293</v>
      </c>
      <c r="E14" s="74">
        <f t="shared" si="4"/>
        <v>186.62165512693701</v>
      </c>
      <c r="F14" s="74">
        <f t="shared" si="4"/>
        <v>73.212277375161321</v>
      </c>
      <c r="G14" s="74">
        <f t="shared" si="4"/>
        <v>79.411832930617877</v>
      </c>
      <c r="H14" s="74">
        <f t="shared" si="4"/>
        <v>76.800702733111436</v>
      </c>
      <c r="I14" s="74">
        <f t="shared" si="4"/>
        <v>50.868572713103944</v>
      </c>
      <c r="J14" s="74" t="str">
        <f t="shared" si="4"/>
        <v>NA</v>
      </c>
      <c r="K14" s="74">
        <f t="shared" si="4"/>
        <v>51.851865899753491</v>
      </c>
      <c r="L14" s="74">
        <f t="shared" si="4"/>
        <v>39.22492354172293</v>
      </c>
      <c r="M14" s="33"/>
      <c r="N14" s="33"/>
      <c r="O14" s="33"/>
      <c r="P14" s="33"/>
      <c r="Q14" s="75">
        <f>'Valuation Assumptions'!D10</f>
        <v>35</v>
      </c>
      <c r="R14" s="76"/>
      <c r="S14" s="33"/>
    </row>
    <row r="16" spans="1:23" ht="15.75" thickBot="1" x14ac:dyDescent="0.3"/>
    <row r="17" spans="1:23" x14ac:dyDescent="0.25">
      <c r="A17" s="5" t="s">
        <v>38</v>
      </c>
      <c r="B17" s="5"/>
      <c r="C17" s="6" t="str">
        <f>C2</f>
        <v>FY 2015</v>
      </c>
      <c r="D17" s="6" t="str">
        <f>D2</f>
        <v>FY 2016</v>
      </c>
      <c r="E17" s="6" t="str">
        <f>E2</f>
        <v>FY 2017</v>
      </c>
      <c r="F17" s="6" t="str">
        <f>F2</f>
        <v>FY 2018</v>
      </c>
      <c r="G17" s="6" t="str">
        <f>G2</f>
        <v>FY 2019</v>
      </c>
      <c r="H17" s="6" t="str">
        <f>H2</f>
        <v>FY 2020</v>
      </c>
      <c r="I17" s="6" t="str">
        <f>I2</f>
        <v>FY 2021</v>
      </c>
      <c r="J17" s="6" t="str">
        <f>J2</f>
        <v>FY 2022</v>
      </c>
      <c r="K17" s="6" t="str">
        <f>K2</f>
        <v>FY 2023</v>
      </c>
      <c r="L17" s="6" t="str">
        <f>L2</f>
        <v>FY 2024</v>
      </c>
      <c r="M17" s="6" t="str">
        <f>M2</f>
        <v>FY 2025</v>
      </c>
      <c r="N17" s="6" t="str">
        <f>N2</f>
        <v>FY 2026</v>
      </c>
      <c r="O17" s="6" t="str">
        <f>O2</f>
        <v>FY 2027</v>
      </c>
      <c r="P17" s="6" t="str">
        <f>P2</f>
        <v>FY 2028</v>
      </c>
      <c r="Q17" s="6" t="str">
        <f>Q2</f>
        <v>FY 2029</v>
      </c>
      <c r="R17" s="8"/>
      <c r="S17" s="83"/>
      <c r="V17" s="12"/>
    </row>
    <row r="18" spans="1:23" x14ac:dyDescent="0.25">
      <c r="A18" t="s">
        <v>3</v>
      </c>
      <c r="B18" s="13" t="s">
        <v>13</v>
      </c>
      <c r="C18" s="1">
        <f>C3</f>
        <v>107006</v>
      </c>
      <c r="D18" s="1">
        <f>D3</f>
        <v>135987</v>
      </c>
      <c r="E18" s="1">
        <f>E3</f>
        <v>177866</v>
      </c>
      <c r="F18" s="1">
        <f>F3</f>
        <v>232887</v>
      </c>
      <c r="G18" s="1">
        <f>G3</f>
        <v>280522</v>
      </c>
      <c r="H18" s="1">
        <f>H3</f>
        <v>386064</v>
      </c>
      <c r="I18" s="1">
        <f>I3</f>
        <v>469822</v>
      </c>
      <c r="J18" s="1">
        <f>J3</f>
        <v>513983</v>
      </c>
      <c r="K18" s="1">
        <f>K3</f>
        <v>574785</v>
      </c>
      <c r="L18" s="1">
        <f>L3</f>
        <v>637959</v>
      </c>
      <c r="M18" s="15">
        <f>'Valuation Assumptions'!V5</f>
        <v>663477.36</v>
      </c>
      <c r="N18" s="15">
        <f>'Valuation Assumptions'!W5</f>
        <v>690016.45440000005</v>
      </c>
      <c r="O18" s="15">
        <f>'Valuation Assumptions'!X5</f>
        <v>717617.11257600004</v>
      </c>
      <c r="P18" s="15">
        <f>'Valuation Assumptions'!Y5</f>
        <v>746321.79707904009</v>
      </c>
      <c r="Q18" s="15">
        <f>'Valuation Assumptions'!Z5</f>
        <v>776174.66896220169</v>
      </c>
      <c r="R18" s="78">
        <f>RATE(5,0,-L18,Q18)</f>
        <v>4.0000000000000049E-2</v>
      </c>
      <c r="S18" s="70" t="s">
        <v>39</v>
      </c>
      <c r="V18" t="s">
        <v>87</v>
      </c>
      <c r="W18" s="10">
        <f>Q28/(1+'Valuation Assumptions'!I2)^5</f>
        <v>527846.68721623835</v>
      </c>
    </row>
    <row r="19" spans="1:23" x14ac:dyDescent="0.25">
      <c r="A19" t="s">
        <v>9</v>
      </c>
      <c r="B19" s="13" t="s">
        <v>14</v>
      </c>
      <c r="C19" s="1">
        <f>C4</f>
        <v>71651</v>
      </c>
      <c r="D19" s="1">
        <f>D4</f>
        <v>88265</v>
      </c>
      <c r="E19" s="1">
        <f>E4</f>
        <v>111934</v>
      </c>
      <c r="F19" s="1">
        <f>F4</f>
        <v>139156</v>
      </c>
      <c r="G19" s="1">
        <f>G4</f>
        <v>165536</v>
      </c>
      <c r="H19" s="1">
        <f>H4</f>
        <v>233307</v>
      </c>
      <c r="I19" s="1">
        <f>I4</f>
        <v>272344</v>
      </c>
      <c r="J19" s="1">
        <f>J4</f>
        <v>288831</v>
      </c>
      <c r="K19" s="1">
        <f>K4</f>
        <v>304739</v>
      </c>
      <c r="L19" s="1">
        <f>L4</f>
        <v>326288</v>
      </c>
      <c r="M19" s="2">
        <f>M18*$R19</f>
        <v>366215.51427807414</v>
      </c>
      <c r="N19" s="2">
        <f>N18*$R19</f>
        <v>380864.13484919717</v>
      </c>
      <c r="O19" s="2">
        <f>O18*$R19</f>
        <v>396098.70024316502</v>
      </c>
      <c r="P19" s="2">
        <f>P18*$R19</f>
        <v>411942.64825289167</v>
      </c>
      <c r="Q19" s="2">
        <f>Q18*$R19</f>
        <v>428420.35418300732</v>
      </c>
      <c r="R19" s="78">
        <f>MAX(SUM(H19:L19)/SUM(H18:L18),SUM(J19:L19)/SUM(J18:L18),L4/L3)</f>
        <v>0.55196384437002366</v>
      </c>
      <c r="S19" s="84" t="s">
        <v>0</v>
      </c>
      <c r="V19" t="s">
        <v>86</v>
      </c>
      <c r="W19" s="29">
        <f>W18/DCF!T33</f>
        <v>49.807664608003464</v>
      </c>
    </row>
    <row r="20" spans="1:23" x14ac:dyDescent="0.25">
      <c r="A20" t="s">
        <v>10</v>
      </c>
      <c r="B20" s="13" t="s">
        <v>35</v>
      </c>
      <c r="C20" s="1">
        <f>C5</f>
        <v>7001</v>
      </c>
      <c r="D20" s="1">
        <f>D5</f>
        <v>9665</v>
      </c>
      <c r="E20" s="1">
        <f>E5</f>
        <v>13743</v>
      </c>
      <c r="F20" s="1">
        <f>F5</f>
        <v>18150</v>
      </c>
      <c r="G20" s="1">
        <f>G5</f>
        <v>24081</v>
      </c>
      <c r="H20" s="1">
        <f>H5</f>
        <v>28676</v>
      </c>
      <c r="I20" s="1">
        <f>I5</f>
        <v>41374</v>
      </c>
      <c r="J20" s="1">
        <f>J5</f>
        <v>54129</v>
      </c>
      <c r="K20" s="1">
        <f>K5</f>
        <v>56186</v>
      </c>
      <c r="L20" s="1">
        <f>L5</f>
        <v>55266</v>
      </c>
      <c r="M20" s="2">
        <f>M18*$R20</f>
        <v>63622.822105729501</v>
      </c>
      <c r="N20" s="2">
        <f>N18*$R20</f>
        <v>66167.734989958684</v>
      </c>
      <c r="O20" s="2">
        <f>O18*$R20</f>
        <v>68814.444389557044</v>
      </c>
      <c r="P20" s="2">
        <f>P18*$R20</f>
        <v>71567.022165139322</v>
      </c>
      <c r="Q20" s="2">
        <f>Q18*$R20</f>
        <v>74429.703051744902</v>
      </c>
      <c r="R20" s="78">
        <f>MAX(SUM(H20:L20)/SUM(H18:L18), SUM(J20:L20)/SUM(J18:L18), L20/L18)</f>
        <v>9.5892981345632511E-2</v>
      </c>
      <c r="S20" s="70"/>
    </row>
    <row r="21" spans="1:23" x14ac:dyDescent="0.25">
      <c r="A21" t="s">
        <v>7</v>
      </c>
      <c r="B21" s="13"/>
      <c r="C21" s="1">
        <f>C6</f>
        <v>26121</v>
      </c>
      <c r="D21" s="1">
        <f>D6</f>
        <v>33871</v>
      </c>
      <c r="E21" s="1">
        <f>E6</f>
        <v>48083</v>
      </c>
      <c r="F21" s="1">
        <f>F6</f>
        <v>63160</v>
      </c>
      <c r="G21" s="1">
        <f>G6</f>
        <v>76364</v>
      </c>
      <c r="H21" s="1">
        <f>H6</f>
        <v>101182</v>
      </c>
      <c r="I21" s="1">
        <f>I6</f>
        <v>131225</v>
      </c>
      <c r="J21" s="1">
        <f>J6</f>
        <v>158775</v>
      </c>
      <c r="K21" s="1">
        <f>K6</f>
        <v>177008</v>
      </c>
      <c r="L21" s="1">
        <f>L6</f>
        <v>187812</v>
      </c>
      <c r="M21" s="2">
        <f>M18*$R21</f>
        <v>201186.07533744475</v>
      </c>
      <c r="N21" s="2">
        <f>N18*$R21</f>
        <v>209233.51835094258</v>
      </c>
      <c r="O21" s="2">
        <f>O18*$R21</f>
        <v>217602.85908498027</v>
      </c>
      <c r="P21" s="2">
        <f>P18*$R21</f>
        <v>226306.97344837949</v>
      </c>
      <c r="Q21" s="2">
        <f>Q18*$R21</f>
        <v>235359.25238631468</v>
      </c>
      <c r="R21" s="78">
        <f>SUM(J21:L21)/SUM(J18:L18)</f>
        <v>0.30322975201059577</v>
      </c>
      <c r="S21" s="84" t="s">
        <v>42</v>
      </c>
      <c r="V21" s="12"/>
    </row>
    <row r="22" spans="1:23" x14ac:dyDescent="0.25">
      <c r="A22" t="s">
        <v>8</v>
      </c>
      <c r="B22" s="13" t="s">
        <v>36</v>
      </c>
      <c r="C22" s="1">
        <f>C7</f>
        <v>2233</v>
      </c>
      <c r="D22" s="1">
        <f>D7</f>
        <v>4186</v>
      </c>
      <c r="E22" s="1">
        <f>E7</f>
        <v>4106</v>
      </c>
      <c r="F22" s="1">
        <f>F7</f>
        <v>12421</v>
      </c>
      <c r="G22" s="1">
        <f>G7</f>
        <v>14541</v>
      </c>
      <c r="H22" s="1">
        <f>H7</f>
        <v>22899</v>
      </c>
      <c r="I22" s="1">
        <f>I7</f>
        <v>24879</v>
      </c>
      <c r="J22" s="1">
        <f>J7</f>
        <v>12248</v>
      </c>
      <c r="K22" s="1">
        <f>K7</f>
        <v>36852</v>
      </c>
      <c r="L22" s="1">
        <f>L7</f>
        <v>68593</v>
      </c>
      <c r="M22" s="2">
        <f>M18-SUM(M19:M21)</f>
        <v>32452.948278751574</v>
      </c>
      <c r="N22" s="2">
        <f t="shared" ref="N22:Q22" si="5">N18-SUM(N19:N21)</f>
        <v>33751.06620990159</v>
      </c>
      <c r="O22" s="2">
        <f t="shared" si="5"/>
        <v>35101.108858297695</v>
      </c>
      <c r="P22" s="2">
        <f t="shared" si="5"/>
        <v>36505.153212629608</v>
      </c>
      <c r="Q22" s="2">
        <f t="shared" si="5"/>
        <v>37965.359341134783</v>
      </c>
      <c r="R22" s="79">
        <f>SUM(M22:Q22)/SUM(M18:Q18)</f>
        <v>4.8913422273748057E-2</v>
      </c>
      <c r="S22" s="70" t="s">
        <v>46</v>
      </c>
    </row>
    <row r="23" spans="1:23" x14ac:dyDescent="0.25">
      <c r="A23" t="s">
        <v>11</v>
      </c>
      <c r="B23" s="13" t="s">
        <v>16</v>
      </c>
      <c r="C23" s="1">
        <f>C8</f>
        <v>409</v>
      </c>
      <c r="D23" s="1">
        <f>D8</f>
        <v>384</v>
      </c>
      <c r="E23" s="1">
        <f>E8</f>
        <v>646</v>
      </c>
      <c r="F23" s="1">
        <f>F8</f>
        <v>977</v>
      </c>
      <c r="G23" s="1">
        <f>G8</f>
        <v>768</v>
      </c>
      <c r="H23" s="1">
        <f>H8</f>
        <v>1092</v>
      </c>
      <c r="I23" s="1">
        <f>I8</f>
        <v>1361</v>
      </c>
      <c r="J23" s="1">
        <f>J8</f>
        <v>1378</v>
      </c>
      <c r="K23" s="1">
        <f>K8</f>
        <v>233</v>
      </c>
      <c r="L23" s="1">
        <f>L8</f>
        <v>-2271</v>
      </c>
      <c r="M23" s="2">
        <f>AVERAGE(K23:L23)</f>
        <v>-1019</v>
      </c>
      <c r="N23" s="2">
        <f>M23</f>
        <v>-1019</v>
      </c>
      <c r="O23" s="2">
        <f t="shared" ref="O23:Q23" si="6">N23</f>
        <v>-1019</v>
      </c>
      <c r="P23" s="2">
        <f t="shared" si="6"/>
        <v>-1019</v>
      </c>
      <c r="Q23" s="2">
        <f t="shared" si="6"/>
        <v>-1019</v>
      </c>
      <c r="R23" s="80"/>
      <c r="S23" s="84" t="s">
        <v>41</v>
      </c>
    </row>
    <row r="24" spans="1:23" x14ac:dyDescent="0.25">
      <c r="A24" t="s">
        <v>37</v>
      </c>
      <c r="B24" s="13"/>
      <c r="C24" s="1">
        <f>C9</f>
        <v>-256</v>
      </c>
      <c r="D24" s="1">
        <f>D9</f>
        <v>90</v>
      </c>
      <c r="E24" s="1">
        <f>E9</f>
        <v>346</v>
      </c>
      <c r="F24" s="1">
        <f>F9</f>
        <v>-183</v>
      </c>
      <c r="G24" s="1">
        <f>G9</f>
        <v>203</v>
      </c>
      <c r="H24" s="1">
        <f>H9</f>
        <v>2371</v>
      </c>
      <c r="I24" s="1">
        <f>I9</f>
        <v>14633</v>
      </c>
      <c r="J24" s="1">
        <f>J9</f>
        <v>-16806</v>
      </c>
      <c r="K24" s="1">
        <f>K9</f>
        <v>938</v>
      </c>
      <c r="L24" s="1">
        <f>L9</f>
        <v>-2250</v>
      </c>
      <c r="M24" s="2">
        <f>AVERAGE(H24:L24)</f>
        <v>-222.8</v>
      </c>
      <c r="N24" s="2">
        <f>M24</f>
        <v>-222.8</v>
      </c>
      <c r="O24" s="2">
        <f>N24</f>
        <v>-222.8</v>
      </c>
      <c r="P24" s="2">
        <f>O24</f>
        <v>-222.8</v>
      </c>
      <c r="Q24" s="2">
        <f>P24</f>
        <v>-222.8</v>
      </c>
      <c r="R24" s="79"/>
      <c r="S24" s="84" t="s">
        <v>40</v>
      </c>
    </row>
    <row r="25" spans="1:23" x14ac:dyDescent="0.25">
      <c r="A25" t="s">
        <v>12</v>
      </c>
      <c r="B25" s="13" t="s">
        <v>17</v>
      </c>
      <c r="C25" s="1">
        <f>C10</f>
        <v>1568</v>
      </c>
      <c r="D25" s="1">
        <f>D10</f>
        <v>3892</v>
      </c>
      <c r="E25" s="1">
        <f>E10</f>
        <v>3806</v>
      </c>
      <c r="F25" s="1">
        <f>F10</f>
        <v>11261</v>
      </c>
      <c r="G25" s="1">
        <f>G10</f>
        <v>13976</v>
      </c>
      <c r="H25" s="1">
        <f>H10</f>
        <v>24178</v>
      </c>
      <c r="I25" s="1">
        <f>I10</f>
        <v>38151</v>
      </c>
      <c r="J25" s="1">
        <f>J10</f>
        <v>-5936</v>
      </c>
      <c r="K25" s="1">
        <f>K10</f>
        <v>37557</v>
      </c>
      <c r="L25" s="1">
        <f>L10</f>
        <v>68614</v>
      </c>
      <c r="M25" s="2">
        <f>M22-SUM(M23:M24)</f>
        <v>33694.748278751576</v>
      </c>
      <c r="N25" s="2">
        <f t="shared" ref="N25:Q25" si="7">N22-SUM(N23:N24)</f>
        <v>34992.866209901593</v>
      </c>
      <c r="O25" s="2">
        <f t="shared" si="7"/>
        <v>36342.908858297698</v>
      </c>
      <c r="P25" s="2">
        <f t="shared" si="7"/>
        <v>37746.953212629611</v>
      </c>
      <c r="Q25" s="2">
        <f t="shared" si="7"/>
        <v>39207.159341134786</v>
      </c>
      <c r="R25" s="79">
        <f>SUM(M25:Q25)/SUM(M18:Q18)</f>
        <v>5.064121257495479E-2</v>
      </c>
      <c r="S25" s="70" t="s">
        <v>45</v>
      </c>
    </row>
    <row r="26" spans="1:23" x14ac:dyDescent="0.25">
      <c r="A26" t="s">
        <v>1</v>
      </c>
      <c r="B26" s="13" t="s">
        <v>15</v>
      </c>
      <c r="C26" s="1">
        <f>C11</f>
        <v>950</v>
      </c>
      <c r="D26" s="1">
        <f>D11</f>
        <v>1425</v>
      </c>
      <c r="E26" s="1">
        <f>E11</f>
        <v>769</v>
      </c>
      <c r="F26" s="1">
        <f>F11</f>
        <v>1197</v>
      </c>
      <c r="G26" s="1">
        <f>G11</f>
        <v>2374</v>
      </c>
      <c r="H26" s="1">
        <f>H11</f>
        <v>2863</v>
      </c>
      <c r="I26" s="1">
        <f>I11</f>
        <v>4791</v>
      </c>
      <c r="J26" s="1">
        <f>J11</f>
        <v>3217</v>
      </c>
      <c r="K26" s="1">
        <f>K11</f>
        <v>7120</v>
      </c>
      <c r="L26" s="1">
        <f>L11</f>
        <v>9265</v>
      </c>
      <c r="M26" s="2">
        <f>M25*$R26</f>
        <v>5649.3692274159894</v>
      </c>
      <c r="N26" s="2">
        <f>N25*$R26</f>
        <v>5867.0158301781312</v>
      </c>
      <c r="O26" s="2">
        <f>O25*$R26</f>
        <v>6093.3682970507743</v>
      </c>
      <c r="P26" s="2">
        <f>P25*$R26</f>
        <v>6328.7748625983158</v>
      </c>
      <c r="Q26" s="2">
        <f>Q25*$R26</f>
        <v>6573.5976907677568</v>
      </c>
      <c r="R26" s="78">
        <f>MAX(SUM(H26:L26)/SUM(H25:L25),L26/L25)</f>
        <v>0.16766319726384685</v>
      </c>
      <c r="S26" s="84" t="s">
        <v>47</v>
      </c>
    </row>
    <row r="27" spans="1:23" ht="15" customHeight="1" x14ac:dyDescent="0.25">
      <c r="A27" t="s">
        <v>2</v>
      </c>
      <c r="B27" s="13" t="s">
        <v>18</v>
      </c>
      <c r="C27" s="1">
        <f>C12</f>
        <v>596</v>
      </c>
      <c r="D27" s="1">
        <f>D12</f>
        <v>2371</v>
      </c>
      <c r="E27" s="1">
        <f>E12</f>
        <v>3033</v>
      </c>
      <c r="F27" s="1">
        <f>F12</f>
        <v>10073</v>
      </c>
      <c r="G27" s="1">
        <f>G12</f>
        <v>11588</v>
      </c>
      <c r="H27" s="1">
        <f>H12</f>
        <v>21331</v>
      </c>
      <c r="I27" s="1">
        <f>I12</f>
        <v>33364</v>
      </c>
      <c r="J27" s="1">
        <f>J12</f>
        <v>-2722</v>
      </c>
      <c r="K27" s="1">
        <f>K12</f>
        <v>30425</v>
      </c>
      <c r="L27" s="1">
        <f>L12</f>
        <v>59248</v>
      </c>
      <c r="M27" s="2">
        <f t="shared" ref="M27:Q27" si="8">M25-M26</f>
        <v>28045.379051335585</v>
      </c>
      <c r="N27" s="2">
        <f t="shared" si="8"/>
        <v>29125.850379723463</v>
      </c>
      <c r="O27" s="2">
        <f t="shared" si="8"/>
        <v>30249.540561246926</v>
      </c>
      <c r="P27" s="2">
        <f t="shared" si="8"/>
        <v>31418.178350031296</v>
      </c>
      <c r="Q27" s="2">
        <f t="shared" si="8"/>
        <v>32633.561650367028</v>
      </c>
      <c r="R27" s="79">
        <f>SUM(M27:Q27)/SUM(M18:Q18)</f>
        <v>4.2150544961319744E-2</v>
      </c>
      <c r="S27" s="70" t="s">
        <v>43</v>
      </c>
    </row>
    <row r="28" spans="1:23" x14ac:dyDescent="0.25">
      <c r="A28" s="30" t="s">
        <v>5</v>
      </c>
      <c r="B28" s="77" t="s">
        <v>19</v>
      </c>
      <c r="C28" s="72">
        <f>C13</f>
        <v>318344.19</v>
      </c>
      <c r="D28" s="72">
        <f>D13</f>
        <v>357687.99</v>
      </c>
      <c r="E28" s="72">
        <f>E13</f>
        <v>566023.48</v>
      </c>
      <c r="F28" s="72">
        <f>F13</f>
        <v>737467.27</v>
      </c>
      <c r="G28" s="72">
        <f>G13</f>
        <v>920224.32</v>
      </c>
      <c r="H28" s="72">
        <f>H13</f>
        <v>1638235.79</v>
      </c>
      <c r="I28" s="72">
        <f>I13</f>
        <v>1697179.06</v>
      </c>
      <c r="J28" s="72">
        <f>J13</f>
        <v>860328</v>
      </c>
      <c r="K28" s="72">
        <f>K13</f>
        <v>1577593.02</v>
      </c>
      <c r="L28" s="72">
        <f>L13</f>
        <v>2323998.27</v>
      </c>
      <c r="M28" s="30"/>
      <c r="N28" s="30"/>
      <c r="O28" s="30"/>
      <c r="P28" s="30"/>
      <c r="Q28" s="73">
        <f>Q27*Q29</f>
        <v>815839.04125917575</v>
      </c>
      <c r="R28" s="82"/>
      <c r="S28" s="85"/>
    </row>
    <row r="29" spans="1:23" x14ac:dyDescent="0.25">
      <c r="A29" s="3" t="s">
        <v>4</v>
      </c>
      <c r="C29" s="11">
        <f>C14</f>
        <v>534.13454697986583</v>
      </c>
      <c r="D29" s="11">
        <f>D14</f>
        <v>150.85954871362293</v>
      </c>
      <c r="E29" s="11">
        <f>E14</f>
        <v>186.62165512693701</v>
      </c>
      <c r="F29" s="11">
        <f>F14</f>
        <v>73.212277375161321</v>
      </c>
      <c r="G29" s="11">
        <f>G14</f>
        <v>79.411832930617877</v>
      </c>
      <c r="H29" s="11">
        <f>H14</f>
        <v>76.800702733111436</v>
      </c>
      <c r="I29" s="11">
        <f>I14</f>
        <v>50.868572713103944</v>
      </c>
      <c r="J29" s="11" t="str">
        <f>J14</f>
        <v>NA</v>
      </c>
      <c r="K29" s="11">
        <f>K14</f>
        <v>51.851865899753491</v>
      </c>
      <c r="L29" s="11">
        <f>L14</f>
        <v>39.22492354172293</v>
      </c>
      <c r="Q29" s="16">
        <f>'Valuation Assumptions'!D11</f>
        <v>25</v>
      </c>
      <c r="R29" s="71"/>
      <c r="S29" s="6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6D4D5-EFF1-4B22-9487-5E68C82E1E17}">
  <dimension ref="B2:D4"/>
  <sheetViews>
    <sheetView showGridLines="0" tabSelected="1" workbookViewId="0">
      <selection activeCell="N30" sqref="N30"/>
    </sheetView>
  </sheetViews>
  <sheetFormatPr defaultRowHeight="15" x14ac:dyDescent="0.25"/>
  <cols>
    <col min="2" max="2" width="11.85546875" customWidth="1"/>
  </cols>
  <sheetData>
    <row r="2" spans="2:4" x14ac:dyDescent="0.25">
      <c r="C2" s="30" t="s">
        <v>92</v>
      </c>
      <c r="D2" s="30" t="s">
        <v>93</v>
      </c>
    </row>
    <row r="3" spans="2:4" x14ac:dyDescent="0.25">
      <c r="B3" s="87" t="s">
        <v>85</v>
      </c>
      <c r="C3" s="10">
        <f>DCF!T34</f>
        <v>93.028410952952285</v>
      </c>
      <c r="D3" s="10">
        <f>DCF!T68</f>
        <v>29.123900391814903</v>
      </c>
    </row>
    <row r="4" spans="2:4" x14ac:dyDescent="0.25">
      <c r="B4" s="87" t="s">
        <v>84</v>
      </c>
      <c r="C4" s="10">
        <f>'Exit Multiple'!W4</f>
        <v>190.09208615682419</v>
      </c>
      <c r="D4" s="10">
        <f>'Exit Multiple'!W19</f>
        <v>49.807664608003464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Valuation Assumptions</vt:lpstr>
      <vt:lpstr>DCF</vt:lpstr>
      <vt:lpstr>Exit Multiple</vt:lpstr>
      <vt:lpstr>Valuation Outputs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Taylor</dc:creator>
  <cp:lastModifiedBy>Price, Jackson P</cp:lastModifiedBy>
  <dcterms:created xsi:type="dcterms:W3CDTF">2025-03-10T17:41:14Z</dcterms:created>
  <dcterms:modified xsi:type="dcterms:W3CDTF">2026-01-18T21:18:43Z</dcterms:modified>
</cp:coreProperties>
</file>